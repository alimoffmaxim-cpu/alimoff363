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" sheetId="1" state="visible" r:id="rId1"/>
    <sheet name="Направление 1" sheetId="2" state="visible" r:id="rId2"/>
    <sheet name="Направление 2" sheetId="3" state="visible" r:id="rId3"/>
    <sheet name="Направление 3" sheetId="4" state="visible" r:id="rId4"/>
    <sheet name="⚙ Настройки" sheetId="5" state="visible" r:id="rId5"/>
    <sheet name="Данные" sheetId="6" state="visible" r:id="rId6"/>
  </sheets>
  <definedNames>
    <definedName name="_xlnm._FilterDatabase" localSheetId="5" hidden="1">'Данные'!$A$1:$F$1096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D.MM.YYYY"/>
    <numFmt numFmtId="165" formatCode="yyyy-mm-dd"/>
    <numFmt numFmtId="166" formatCode="#,##0&quot; ₽&quot;"/>
    <numFmt numFmtId="167" formatCode="#,##0.0&quot; ₽&quot;"/>
    <numFmt numFmtId="168" formatCode="0.0%"/>
    <numFmt numFmtId="169" formatCode="&quot;▲ &quot;0%;&quot;▼ &quot;0%;0%"/>
    <numFmt numFmtId="170" formatCode="&quot;▲ &quot;0.0%;&quot;▼ &quot;0.0%;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2430"/>
      <sz val="10"/>
    </font>
    <font>
      <name val="Arial"/>
      <color rgb="006B7280"/>
      <sz val="10"/>
    </font>
    <font>
      <name val="Arial"/>
      <color rgb="001F2430"/>
      <sz val="10"/>
    </font>
    <font>
      <name val="Arial"/>
      <b val="1"/>
      <color rgb="00FFFFFF"/>
      <sz val="18"/>
    </font>
    <font>
      <name val="Arial"/>
      <color rgb="00C9D1E3"/>
      <sz val="10"/>
    </font>
    <font>
      <name val="Arial"/>
      <color rgb="006B7280"/>
      <sz val="9"/>
    </font>
    <font>
      <name val="Arial"/>
      <b val="1"/>
      <color rgb="001F2430"/>
      <sz val="12"/>
    </font>
    <font>
      <name val="Arial"/>
      <b val="1"/>
      <color rgb="001F2430"/>
      <sz val="14"/>
    </font>
    <font>
      <name val="Arial"/>
      <b val="1"/>
      <color rgb="006B7280"/>
      <sz val="10"/>
    </font>
    <font>
      <name val="Arial"/>
      <b val="1"/>
      <color rgb="001F2430"/>
      <sz val="11"/>
    </font>
  </fonts>
  <fills count="11">
    <fill>
      <patternFill/>
    </fill>
    <fill>
      <patternFill patternType="gray125"/>
    </fill>
    <fill>
      <patternFill patternType="solid">
        <fgColor rgb="002F3E60"/>
        <bgColor rgb="002F3E60"/>
      </patternFill>
    </fill>
    <fill>
      <patternFill patternType="solid">
        <fgColor rgb="002A78D6"/>
        <bgColor rgb="002A78D6"/>
      </patternFill>
    </fill>
    <fill>
      <patternFill patternType="solid">
        <fgColor rgb="00EB6834"/>
        <bgColor rgb="00EB6834"/>
      </patternFill>
    </fill>
    <fill>
      <patternFill patternType="solid">
        <fgColor rgb="001BAF7A"/>
        <bgColor rgb="001BAF7A"/>
      </patternFill>
    </fill>
    <fill>
      <patternFill patternType="solid">
        <fgColor rgb="001F2A44"/>
        <bgColor rgb="001F2A44"/>
      </patternFill>
    </fill>
    <fill>
      <patternFill patternType="solid">
        <fgColor rgb="00FFF6D6"/>
        <bgColor rgb="00FFF6D6"/>
      </patternFill>
    </fill>
    <fill>
      <patternFill patternType="solid">
        <fgColor rgb="00FFFFFF"/>
        <bgColor rgb="00FFFFFF"/>
      </patternFill>
    </fill>
    <fill>
      <patternFill patternType="solid">
        <fgColor rgb="00F4F6FA"/>
        <bgColor rgb="00F4F6FA"/>
      </patternFill>
    </fill>
    <fill>
      <patternFill patternType="solid">
        <fgColor rgb="00E8ECF4"/>
        <bgColor rgb="00E8ECF4"/>
      </patternFill>
    </fill>
  </fills>
  <borders count="5">
    <border>
      <left/>
      <right/>
      <top/>
      <bottom/>
      <diagonal/>
    </border>
    <border>
      <left style="thin">
        <color rgb="00E0C46C"/>
      </left>
      <right style="thin">
        <color rgb="00E0C46C"/>
      </right>
      <top style="thin">
        <color rgb="00E0C46C"/>
      </top>
      <bottom style="thin">
        <color rgb="00E0C46C"/>
      </bottom>
    </border>
    <border>
      <bottom style="thin">
        <color rgb="00DFE3EB"/>
      </bottom>
    </border>
    <border>
      <top style="thin">
        <color rgb="001F2A44"/>
      </top>
      <bottom style="thin">
        <color rgb="001F2A44"/>
      </bottom>
    </border>
    <border>
      <top style="thin">
        <color rgb="001F2A44"/>
      </top>
      <bottom style="thin">
        <color rgb="00DFE3EB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5" fillId="6" borderId="0" applyAlignment="1" pivotButton="0" quotePrefix="0" xfId="0">
      <alignment vertical="center"/>
    </xf>
    <xf numFmtId="0" fontId="0" fillId="6" borderId="0" pivotButton="0" quotePrefix="0" xfId="0"/>
    <xf numFmtId="0" fontId="6" fillId="6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applyAlignment="1" pivotButton="0" quotePrefix="0" xfId="0">
      <alignment horizontal="right"/>
    </xf>
    <xf numFmtId="164" fontId="2" fillId="7" borderId="1" applyAlignment="1" pivotButton="0" quotePrefix="0" xfId="0">
      <alignment horizontal="center"/>
    </xf>
    <xf numFmtId="0" fontId="8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left"/>
    </xf>
    <xf numFmtId="166" fontId="9" fillId="8" borderId="2" applyAlignment="1" pivotButton="0" quotePrefix="0" xfId="0">
      <alignment horizontal="right"/>
    </xf>
    <xf numFmtId="3" fontId="9" fillId="8" borderId="2" applyAlignment="1" pivotButton="0" quotePrefix="0" xfId="0">
      <alignment horizontal="right"/>
    </xf>
    <xf numFmtId="10" fontId="9" fillId="8" borderId="2" applyAlignment="1" pivotButton="0" quotePrefix="0" xfId="0">
      <alignment horizontal="right"/>
    </xf>
    <xf numFmtId="167" fontId="9" fillId="8" borderId="2" applyAlignment="1" pivotButton="0" quotePrefix="0" xfId="0">
      <alignment horizontal="right"/>
    </xf>
    <xf numFmtId="168" fontId="9" fillId="8" borderId="2" applyAlignment="1" pivotButton="0" quotePrefix="0" xfId="0">
      <alignment horizontal="right"/>
    </xf>
    <xf numFmtId="164" fontId="9" fillId="8" borderId="2" applyAlignment="1" pivotButton="0" quotePrefix="0" xfId="0">
      <alignment horizontal="right"/>
    </xf>
    <xf numFmtId="0" fontId="3" fillId="9" borderId="2" applyAlignment="1" pivotButton="0" quotePrefix="0" xfId="0">
      <alignment horizontal="left"/>
    </xf>
    <xf numFmtId="166" fontId="3" fillId="9" borderId="2" applyAlignment="1" pivotButton="0" quotePrefix="0" xfId="0">
      <alignment horizontal="right"/>
    </xf>
    <xf numFmtId="3" fontId="3" fillId="9" borderId="2" applyAlignment="1" pivotButton="0" quotePrefix="0" xfId="0">
      <alignment horizontal="right"/>
    </xf>
    <xf numFmtId="10" fontId="3" fillId="9" borderId="2" applyAlignment="1" pivotButton="0" quotePrefix="0" xfId="0">
      <alignment horizontal="right"/>
    </xf>
    <xf numFmtId="167" fontId="3" fillId="9" borderId="2" applyAlignment="1" pivotButton="0" quotePrefix="0" xfId="0">
      <alignment horizontal="right"/>
    </xf>
    <xf numFmtId="168" fontId="3" fillId="9" borderId="2" applyAlignment="1" pivotButton="0" quotePrefix="0" xfId="0">
      <alignment horizontal="right"/>
    </xf>
    <xf numFmtId="164" fontId="3" fillId="9" borderId="2" applyAlignment="1" pivotButton="0" quotePrefix="0" xfId="0">
      <alignment horizontal="right"/>
    </xf>
    <xf numFmtId="0" fontId="10" fillId="8" borderId="2" applyAlignment="1" pivotButton="0" quotePrefix="0" xfId="0">
      <alignment horizontal="left"/>
    </xf>
    <xf numFmtId="169" fontId="10" fillId="8" borderId="2" applyAlignment="1" pivotButton="0" quotePrefix="0" xfId="0">
      <alignment horizontal="right"/>
    </xf>
    <xf numFmtId="0" fontId="10" fillId="8" borderId="2" applyAlignment="1" pivotButton="0" quotePrefix="0" xfId="0">
      <alignment horizontal="right"/>
    </xf>
    <xf numFmtId="0" fontId="4" fillId="8" borderId="2" applyAlignment="1" pivotButton="0" quotePrefix="0" xfId="0">
      <alignment horizontal="left"/>
    </xf>
    <xf numFmtId="166" fontId="4" fillId="8" borderId="2" applyAlignment="1" pivotButton="0" quotePrefix="0" xfId="0">
      <alignment horizontal="right"/>
    </xf>
    <xf numFmtId="3" fontId="4" fillId="8" borderId="2" applyAlignment="1" pivotButton="0" quotePrefix="0" xfId="0">
      <alignment horizontal="right"/>
    </xf>
    <xf numFmtId="10" fontId="4" fillId="8" borderId="2" applyAlignment="1" pivotButton="0" quotePrefix="0" xfId="0">
      <alignment horizontal="right"/>
    </xf>
    <xf numFmtId="167" fontId="4" fillId="8" borderId="2" applyAlignment="1" pivotButton="0" quotePrefix="0" xfId="0">
      <alignment horizontal="right"/>
    </xf>
    <xf numFmtId="168" fontId="4" fillId="8" borderId="2" applyAlignment="1" pivotButton="0" quotePrefix="0" xfId="0">
      <alignment horizontal="right"/>
    </xf>
    <xf numFmtId="9" fontId="4" fillId="8" borderId="2" applyAlignment="1" pivotButton="0" quotePrefix="0" xfId="0">
      <alignment horizontal="right"/>
    </xf>
    <xf numFmtId="0" fontId="4" fillId="9" borderId="2" applyAlignment="1" pivotButton="0" quotePrefix="0" xfId="0">
      <alignment horizontal="left"/>
    </xf>
    <xf numFmtId="166" fontId="4" fillId="9" borderId="2" applyAlignment="1" pivotButton="0" quotePrefix="0" xfId="0">
      <alignment horizontal="right"/>
    </xf>
    <xf numFmtId="3" fontId="4" fillId="9" borderId="2" applyAlignment="1" pivotButton="0" quotePrefix="0" xfId="0">
      <alignment horizontal="right"/>
    </xf>
    <xf numFmtId="10" fontId="4" fillId="9" borderId="2" applyAlignment="1" pivotButton="0" quotePrefix="0" xfId="0">
      <alignment horizontal="right"/>
    </xf>
    <xf numFmtId="167" fontId="4" fillId="9" borderId="2" applyAlignment="1" pivotButton="0" quotePrefix="0" xfId="0">
      <alignment horizontal="right"/>
    </xf>
    <xf numFmtId="168" fontId="4" fillId="9" borderId="2" applyAlignment="1" pivotButton="0" quotePrefix="0" xfId="0">
      <alignment horizontal="right"/>
    </xf>
    <xf numFmtId="9" fontId="4" fillId="9" borderId="2" applyAlignment="1" pivotButton="0" quotePrefix="0" xfId="0">
      <alignment horizontal="right"/>
    </xf>
    <xf numFmtId="0" fontId="2" fillId="10" borderId="4" applyAlignment="1" pivotButton="0" quotePrefix="0" xfId="0">
      <alignment horizontal="left"/>
    </xf>
    <xf numFmtId="166" fontId="2" fillId="10" borderId="4" applyAlignment="1" pivotButton="0" quotePrefix="0" xfId="0">
      <alignment horizontal="right"/>
    </xf>
    <xf numFmtId="3" fontId="2" fillId="10" borderId="4" applyAlignment="1" pivotButton="0" quotePrefix="0" xfId="0">
      <alignment horizontal="right"/>
    </xf>
    <xf numFmtId="10" fontId="2" fillId="10" borderId="4" applyAlignment="1" pivotButton="0" quotePrefix="0" xfId="0">
      <alignment horizontal="right"/>
    </xf>
    <xf numFmtId="167" fontId="2" fillId="10" borderId="4" applyAlignment="1" pivotButton="0" quotePrefix="0" xfId="0">
      <alignment horizontal="right"/>
    </xf>
    <xf numFmtId="168" fontId="2" fillId="10" borderId="4" applyAlignment="1" pivotButton="0" quotePrefix="0" xfId="0">
      <alignment horizontal="right"/>
    </xf>
    <xf numFmtId="9" fontId="2" fillId="10" borderId="4" applyAlignment="1" pivotButton="0" quotePrefix="0" xfId="0">
      <alignment horizontal="right"/>
    </xf>
    <xf numFmtId="170" fontId="11" fillId="0" borderId="0" pivotButton="0" quotePrefix="0" xfId="0"/>
    <xf numFmtId="3" fontId="2" fillId="8" borderId="2" applyAlignment="1" pivotButton="0" quotePrefix="0" xfId="0">
      <alignment horizontal="right"/>
    </xf>
    <xf numFmtId="169" fontId="4" fillId="8" borderId="2" applyAlignment="1" pivotButton="0" quotePrefix="0" xfId="0">
      <alignment horizontal="right"/>
    </xf>
    <xf numFmtId="3" fontId="2" fillId="9" borderId="2" applyAlignment="1" pivotButton="0" quotePrefix="0" xfId="0">
      <alignment horizontal="right"/>
    </xf>
    <xf numFmtId="169" fontId="4" fillId="9" borderId="2" applyAlignment="1" pivotButton="0" quotePrefix="0" xfId="0">
      <alignment horizontal="right"/>
    </xf>
    <xf numFmtId="167" fontId="2" fillId="8" borderId="2" applyAlignment="1" pivotButton="0" quotePrefix="0" xfId="0">
      <alignment horizontal="right"/>
    </xf>
    <xf numFmtId="167" fontId="2" fillId="9" borderId="2" applyAlignment="1" pivotButton="0" quotePrefix="0" xfId="0">
      <alignment horizontal="right"/>
    </xf>
    <xf numFmtId="166" fontId="2" fillId="8" borderId="2" applyAlignment="1" pivotButton="0" quotePrefix="0" xfId="0">
      <alignment horizontal="right"/>
    </xf>
    <xf numFmtId="166" fontId="2" fillId="9" borderId="2" applyAlignment="1" pivotButton="0" quotePrefix="0" xfId="0">
      <alignment horizontal="right"/>
    </xf>
    <xf numFmtId="0" fontId="2" fillId="10" borderId="3" applyAlignment="1" pivotButton="0" quotePrefix="0" xfId="0">
      <alignment horizontal="left"/>
    </xf>
    <xf numFmtId="10" fontId="2" fillId="10" borderId="3" applyAlignment="1" pivotButton="0" quotePrefix="0" xfId="0">
      <alignment horizontal="right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164" fontId="4" fillId="0" borderId="0" pivotButton="0" quotePrefix="0" xfId="0"/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dxfs count="2">
    <dxf>
      <font>
        <b val="1"/>
        <color rgb="001A7F37"/>
      </font>
    </dxf>
    <dxf>
      <font>
        <b val="1"/>
        <color rgb="00C6282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Подписки по неделям — вся клиника (пунктир — тренд)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'Сводная'!E19</f>
            </strRef>
          </tx>
          <spPr>
            <a:solidFill>
              <a:srgbClr val="1BAF7A"/>
            </a:solidFill>
            <a:ln>
              <a:solidFill>
                <a:srgbClr val="1BAF7A"/>
              </a:solidFill>
              <a:prstDash val="solid"/>
            </a:ln>
          </spPr>
          <trendline>
            <spPr>
              <a:ln w="22000">
                <a:solidFill>
                  <a:srgbClr val="1F2A44"/>
                </a:solidFill>
                <a:prstDash val="dash"/>
              </a:ln>
            </spPr>
            <trendlineType val="linear"/>
            <dispRSqr val="0"/>
            <dispEq val="0"/>
          </trendline>
          <cat>
            <numRef>
              <f>'Сводная'!$A$20:$A$45</f>
            </numRef>
          </cat>
          <val>
            <numRef>
              <f>'Сводная'!$E$20:$E$45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Расход по неделям — вся клиника, ₽ (пунктир — тренд)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'Сводная'!E77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trendline>
            <spPr>
              <a:ln w="22000">
                <a:solidFill>
                  <a:srgbClr val="1F2A44"/>
                </a:solidFill>
                <a:prstDash val="dash"/>
              </a:ln>
            </spPr>
            <trendlineType val="linear"/>
            <dispRSqr val="0"/>
            <dispEq val="0"/>
          </trendline>
          <cat>
            <numRef>
              <f>'Сводная'!$A$78:$A$103</f>
            </numRef>
          </cat>
          <val>
            <numRef>
              <f>'Сводная'!$E$78:$E$103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Подписки по месяцам — вся клиника (пунктир — тренд)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'Сводная'!E106</f>
            </strRef>
          </tx>
          <spPr>
            <a:solidFill>
              <a:srgbClr val="1BAF7A"/>
            </a:solidFill>
            <a:ln>
              <a:solidFill>
                <a:srgbClr val="1BAF7A"/>
              </a:solidFill>
              <a:prstDash val="solid"/>
            </a:ln>
          </spPr>
          <trendline>
            <spPr>
              <a:ln w="22000">
                <a:solidFill>
                  <a:srgbClr val="1F2A44"/>
                </a:solidFill>
                <a:prstDash val="dash"/>
              </a:ln>
            </spPr>
            <trendlineType val="linear"/>
            <dispRSqr val="0"/>
            <dispEq val="0"/>
          </trendline>
          <cat>
            <numRef>
              <f>'Сводная'!$A$107:$A$118</f>
            </numRef>
          </cat>
          <val>
            <numRef>
              <f>'Сводная'!$E$107:$E$118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Расход по месяцам — вся клиника, ₽ (пунктир — тренд)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'Сводная'!E136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trendline>
            <spPr>
              <a:ln w="22000">
                <a:solidFill>
                  <a:srgbClr val="1F2A44"/>
                </a:solidFill>
                <a:prstDash val="dash"/>
              </a:ln>
            </spPr>
            <trendlineType val="linear"/>
            <dispRSqr val="0"/>
            <dispEq val="0"/>
          </trendline>
          <cat>
            <numRef>
              <f>'Сводная'!$A$137:$A$148</f>
            </numRef>
          </cat>
          <val>
            <numRef>
              <f>'Сводная'!$E$137:$E$148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Подписки по неделям по направлениям</a:t>
            </a:r>
          </a:p>
        </rich>
      </tx>
    </title>
    <plotArea>
      <lineChart>
        <grouping val="standard"/>
        <ser>
          <idx val="0"/>
          <order val="0"/>
          <tx>
            <strRef>
              <f>'Сводная'!B19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'Сводная'!$A$20:$A$45</f>
            </numRef>
          </cat>
          <val>
            <numRef>
              <f>'Сводная'!$B$20:$B$45</f>
            </numRef>
          </val>
          <smooth val="0"/>
        </ser>
        <ser>
          <idx val="1"/>
          <order val="1"/>
          <tx>
            <strRef>
              <f>'Сводная'!C19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'Сводная'!$A$20:$A$45</f>
            </numRef>
          </cat>
          <val>
            <numRef>
              <f>'Сводная'!$C$20:$C$45</f>
            </numRef>
          </val>
          <smooth val="0"/>
        </ser>
        <ser>
          <idx val="2"/>
          <order val="2"/>
          <tx>
            <strRef>
              <f>'Сводная'!D19</f>
            </strRef>
          </tx>
          <spPr>
            <a:ln w="22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'Сводная'!$A$20:$A$45</f>
            </numRef>
          </cat>
          <val>
            <numRef>
              <f>'Сводная'!$D$20:$D$45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Подписки по месяцам по направлениям</a:t>
            </a:r>
          </a:p>
        </rich>
      </tx>
    </title>
    <plotArea>
      <lineChart>
        <grouping val="standard"/>
        <ser>
          <idx val="0"/>
          <order val="0"/>
          <tx>
            <strRef>
              <f>'Сводная'!B106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'Сводная'!$A$107:$A$118</f>
            </numRef>
          </cat>
          <val>
            <numRef>
              <f>'Сводная'!$B$107:$B$118</f>
            </numRef>
          </val>
          <smooth val="0"/>
        </ser>
        <ser>
          <idx val="1"/>
          <order val="1"/>
          <tx>
            <strRef>
              <f>'Сводная'!C106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'Сводная'!$A$107:$A$118</f>
            </numRef>
          </cat>
          <val>
            <numRef>
              <f>'Сводная'!$C$107:$C$118</f>
            </numRef>
          </val>
          <smooth val="0"/>
        </ser>
        <ser>
          <idx val="2"/>
          <order val="2"/>
          <tx>
            <strRef>
              <f>'Сводная'!D106</f>
            </strRef>
          </tx>
          <spPr>
            <a:ln w="22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'Сводная'!$A$107:$A$118</f>
            </numRef>
          </cat>
          <val>
            <numRef>
              <f>'Сводная'!$D$107:$D$118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Подписки по дням (пунктир — тренд)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'Направление 1'!H58</f>
            </strRef>
          </tx>
          <spPr>
            <a:solidFill>
              <a:srgbClr val="1BAF7A"/>
            </a:solidFill>
            <a:ln>
              <a:solidFill>
                <a:srgbClr val="1BAF7A"/>
              </a:solidFill>
              <a:prstDash val="solid"/>
            </a:ln>
          </spPr>
          <trendline>
            <spPr>
              <a:ln w="22000">
                <a:solidFill>
                  <a:srgbClr val="1F2A44"/>
                </a:solidFill>
                <a:prstDash val="dash"/>
              </a:ln>
            </spPr>
            <trendlineType val="linear"/>
            <dispRSqr val="0"/>
            <dispEq val="0"/>
          </trendline>
          <cat>
            <numRef>
              <f>'Направление 1'!$A$59:$A$150</f>
            </numRef>
          </cat>
          <val>
            <numRef>
              <f>'Направление 1'!$H$59:$H$150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Расход по дням, ₽ (пунктир — тренд)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'Направление 1'!B58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trendline>
            <spPr>
              <a:ln w="22000">
                <a:solidFill>
                  <a:srgbClr val="1F2A44"/>
                </a:solidFill>
                <a:prstDash val="dash"/>
              </a:ln>
            </spPr>
            <trendlineType val="linear"/>
            <dispRSqr val="0"/>
            <dispEq val="0"/>
          </trendline>
          <cat>
            <numRef>
              <f>'Направление 1'!$A$59:$A$150</f>
            </numRef>
          </cat>
          <val>
            <numRef>
              <f>'Направление 1'!$B$59:$B$150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Цена подписки по дням, ₽</a:t>
            </a:r>
          </a:p>
        </rich>
      </tx>
    </title>
    <plotArea>
      <lineChart>
        <grouping val="standard"/>
        <ser>
          <idx val="0"/>
          <order val="0"/>
          <tx>
            <strRef>
              <f>'Направление 1'!I58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'Направление 1'!$A$59:$A$150</f>
            </numRef>
          </cat>
          <val>
            <numRef>
              <f>'Направление 1'!$I$59:$I$150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Подписки по дням (пунктир — тренд)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'Направление 2'!H58</f>
            </strRef>
          </tx>
          <spPr>
            <a:solidFill>
              <a:srgbClr val="1BAF7A"/>
            </a:solidFill>
            <a:ln>
              <a:solidFill>
                <a:srgbClr val="1BAF7A"/>
              </a:solidFill>
              <a:prstDash val="solid"/>
            </a:ln>
          </spPr>
          <trendline>
            <spPr>
              <a:ln w="22000">
                <a:solidFill>
                  <a:srgbClr val="1F2A44"/>
                </a:solidFill>
                <a:prstDash val="dash"/>
              </a:ln>
            </spPr>
            <trendlineType val="linear"/>
            <dispRSqr val="0"/>
            <dispEq val="0"/>
          </trendline>
          <cat>
            <numRef>
              <f>'Направление 2'!$A$59:$A$150</f>
            </numRef>
          </cat>
          <val>
            <numRef>
              <f>'Направление 2'!$H$59:$H$150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Расход по дням, ₽ (пунктир — тренд)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'Направление 2'!B58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trendline>
            <spPr>
              <a:ln w="22000">
                <a:solidFill>
                  <a:srgbClr val="1F2A44"/>
                </a:solidFill>
                <a:prstDash val="dash"/>
              </a:ln>
            </spPr>
            <trendlineType val="linear"/>
            <dispRSqr val="0"/>
            <dispEq val="0"/>
          </trendline>
          <cat>
            <numRef>
              <f>'Направление 2'!$A$59:$A$150</f>
            </numRef>
          </cat>
          <val>
            <numRef>
              <f>'Направление 2'!$B$59:$B$150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Цена подписки по дням, ₽</a:t>
            </a:r>
          </a:p>
        </rich>
      </tx>
    </title>
    <plotArea>
      <lineChart>
        <grouping val="standard"/>
        <ser>
          <idx val="0"/>
          <order val="0"/>
          <tx>
            <strRef>
              <f>'Направление 2'!I58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'Направление 2'!$A$59:$A$150</f>
            </numRef>
          </cat>
          <val>
            <numRef>
              <f>'Направление 2'!$I$59:$I$150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Подписки по дням (пунктир — тренд)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'Направление 3'!H58</f>
            </strRef>
          </tx>
          <spPr>
            <a:solidFill>
              <a:srgbClr val="1BAF7A"/>
            </a:solidFill>
            <a:ln>
              <a:solidFill>
                <a:srgbClr val="1BAF7A"/>
              </a:solidFill>
              <a:prstDash val="solid"/>
            </a:ln>
          </spPr>
          <trendline>
            <spPr>
              <a:ln w="22000">
                <a:solidFill>
                  <a:srgbClr val="1F2A44"/>
                </a:solidFill>
                <a:prstDash val="dash"/>
              </a:ln>
            </spPr>
            <trendlineType val="linear"/>
            <dispRSqr val="0"/>
            <dispEq val="0"/>
          </trendline>
          <cat>
            <numRef>
              <f>'Направление 3'!$A$59:$A$150</f>
            </numRef>
          </cat>
          <val>
            <numRef>
              <f>'Направление 3'!$H$59:$H$150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Расход по дням, ₽ (пунктир — тренд)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'Направление 3'!B58</f>
            </strRef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trendline>
            <spPr>
              <a:ln w="22000">
                <a:solidFill>
                  <a:srgbClr val="1F2A44"/>
                </a:solidFill>
                <a:prstDash val="dash"/>
              </a:ln>
            </spPr>
            <trendlineType val="linear"/>
            <dispRSqr val="0"/>
            <dispEq val="0"/>
          </trendline>
          <cat>
            <numRef>
              <f>'Направление 3'!$A$59:$A$150</f>
            </numRef>
          </cat>
          <val>
            <numRef>
              <f>'Направление 3'!$B$59:$B$150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Цена подписки по дням, ₽</a:t>
            </a:r>
          </a:p>
        </rich>
      </tx>
    </title>
    <plotArea>
      <lineChart>
        <grouping val="standard"/>
        <ser>
          <idx val="0"/>
          <order val="0"/>
          <tx>
            <strRef>
              <f>'Направление 3'!I58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'Направление 3'!$A$59:$A$150</f>
            </numRef>
          </cat>
          <val>
            <numRef>
              <f>'Направление 3'!$I$59:$I$150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Relationship Type="http://schemas.openxmlformats.org/officeDocument/2006/relationships/chart" Target="/xl/charts/chart9.xml" Id="rId3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3</row>
      <rowOff>0</rowOff>
    </from>
    <ext cx="5328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18</row>
      <rowOff>0</rowOff>
    </from>
    <ext cx="5328000" cy="266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33</row>
      <rowOff>0</rowOff>
    </from>
    <ext cx="5328000" cy="266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48</row>
      <rowOff>0</rowOff>
    </from>
    <ext cx="5328000" cy="2664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13</col>
      <colOff>0</colOff>
      <row>63</row>
      <rowOff>0</rowOff>
    </from>
    <ext cx="5328000" cy="2664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13</col>
      <colOff>0</colOff>
      <row>78</row>
      <rowOff>0</rowOff>
    </from>
    <ext cx="5328000" cy="2664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3</row>
      <rowOff>0</rowOff>
    </from>
    <ext cx="5328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18</row>
      <rowOff>0</rowOff>
    </from>
    <ext cx="5328000" cy="266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33</row>
      <rowOff>0</rowOff>
    </from>
    <ext cx="5328000" cy="266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3</row>
      <rowOff>0</rowOff>
    </from>
    <ext cx="5328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18</row>
      <rowOff>0</rowOff>
    </from>
    <ext cx="5328000" cy="266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33</row>
      <rowOff>0</rowOff>
    </from>
    <ext cx="5328000" cy="266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3</row>
      <rowOff>0</rowOff>
    </from>
    <ext cx="5328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18</row>
      <rowOff>0</rowOff>
    </from>
    <ext cx="5328000" cy="266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33</row>
      <rowOff>0</rowOff>
    </from>
    <ext cx="5328000" cy="266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2A44"/>
    <outlinePr summaryBelow="1" summaryRight="1"/>
    <pageSetUpPr/>
  </sheetPr>
  <dimension ref="A1:AM1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  <col width="3" customWidth="1" min="13" max="13"/>
  </cols>
  <sheetData>
    <row r="1" ht="34" customHeight="1">
      <c r="A1" s="1" t="inlineStr">
        <is>
          <t>Сова · Сводная по всем направлениям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</row>
    <row r="2">
      <c r="A2" s="3">
        <f>"Все кабинеты VK Реклама клиники · данные по "&amp;TEXT($E$3,"DD.MM.YYYY")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</row>
    <row r="3">
      <c r="A3" s="4" t="inlineStr">
        <is>
          <t>Все направления</t>
        </is>
      </c>
      <c r="B3" s="5" t="n"/>
      <c r="D3" s="4" t="inlineStr">
        <is>
          <t>Данные по</t>
        </is>
      </c>
      <c r="E3" s="6">
        <f>'⚙ Настройки'!$B$7</f>
        <v/>
      </c>
      <c r="G3" s="7" t="inlineStr">
        <is>
          <t>Период с</t>
        </is>
      </c>
      <c r="H3" s="8" t="n"/>
      <c r="I3" s="7" t="inlineStr">
        <is>
          <t>по</t>
        </is>
      </c>
      <c r="J3" s="8" t="n"/>
      <c r="N3" s="9" t="inlineStr">
        <is>
          <t>📈 Подписки и расход по неделям и месяцам (завершённые периоды)</t>
        </is>
      </c>
    </row>
    <row r="4">
      <c r="H4" s="10">
        <f>IF(AND(ISNUMBER(H3),ISNUMBER(J3),H3&gt;J3),"⚠ Дата «с» позже даты «по»",IF(OR(ISNUMBER(H3),ISNUMBER(J3)),"Сравнение — с предыдущим периодом той же длины. Очистите поля, чтобы вернуть текущий месяц.","Пусто — текущий месяц. Дату выбирают двойным щелчком."))</f>
        <v/>
      </c>
    </row>
    <row r="5">
      <c r="A5" s="9">
        <f>IF(OR(ISNUMBER($H$3),ISNUMBER($J$3)),"Выбранный период против предыдущего той же длины","Этот месяц против тех же дней прошлого")</f>
        <v/>
      </c>
    </row>
    <row r="6">
      <c r="A6" s="11" t="inlineStr">
        <is>
          <t>Период</t>
        </is>
      </c>
      <c r="B6" s="11" t="inlineStr">
        <is>
          <t>Расход</t>
        </is>
      </c>
      <c r="C6" s="11" t="inlineStr">
        <is>
          <t>Расход с НДС</t>
        </is>
      </c>
      <c r="D6" s="11" t="inlineStr">
        <is>
          <t>Показы</t>
        </is>
      </c>
      <c r="E6" s="11" t="inlineStr">
        <is>
          <t>Клики</t>
        </is>
      </c>
      <c r="F6" s="11" t="inlineStr">
        <is>
          <t>CTR</t>
        </is>
      </c>
      <c r="G6" s="11" t="inlineStr">
        <is>
          <t>CPC</t>
        </is>
      </c>
      <c r="H6" s="11" t="inlineStr">
        <is>
          <t>Подписки</t>
        </is>
      </c>
      <c r="I6" s="11" t="inlineStr">
        <is>
          <t>Цена подписки</t>
        </is>
      </c>
      <c r="J6" s="11" t="inlineStr">
        <is>
          <t>CR в подписку</t>
        </is>
      </c>
      <c r="K6" s="11" t="inlineStr">
        <is>
          <t>с</t>
        </is>
      </c>
      <c r="L6" s="11" t="inlineStr">
        <is>
          <t>по</t>
        </is>
      </c>
    </row>
    <row r="7" ht="26" customHeight="1">
      <c r="A7" s="12">
        <f>IF(OR(ISNUMBER($H$3),ISNUMBER($J$3)),"Выбранный период","Этот месяц")</f>
        <v/>
      </c>
      <c r="B7" s="13">
        <f>SUMIFS('Данные'!$C:$C,'Данные'!$A:$A,"&gt;="&amp;$K$7,'Данные'!$A:$A,"&lt;"&amp;$L$7+1)</f>
        <v/>
      </c>
      <c r="C7" s="13">
        <f>B7*(100+22)/100</f>
        <v/>
      </c>
      <c r="D7" s="14">
        <f>SUMIFS('Данные'!$D:$D,'Данные'!$A:$A,"&gt;="&amp;$K$7,'Данные'!$A:$A,"&lt;"&amp;$L$7+1)</f>
        <v/>
      </c>
      <c r="E7" s="14">
        <f>SUMIFS('Данные'!$E:$E,'Данные'!$A:$A,"&gt;="&amp;$K$7,'Данные'!$A:$A,"&lt;"&amp;$L$7+1)</f>
        <v/>
      </c>
      <c r="F7" s="15">
        <f>IFERROR(E7/D7,"")</f>
        <v/>
      </c>
      <c r="G7" s="16">
        <f>IFERROR(B7/E7,"")</f>
        <v/>
      </c>
      <c r="H7" s="14">
        <f>SUMIFS('Данные'!$F:$F,'Данные'!$A:$A,"&gt;="&amp;$K$7,'Данные'!$A:$A,"&lt;"&amp;$L$7+1)</f>
        <v/>
      </c>
      <c r="I7" s="16">
        <f>IFERROR(B7/H7,"")</f>
        <v/>
      </c>
      <c r="J7" s="17">
        <f>IFERROR(H7/E7,"")</f>
        <v/>
      </c>
      <c r="K7" s="18">
        <f>IF(ISNUMBER($H$3),$H$3,DATE(YEAR(L7),MONTH(L7),1))</f>
        <v/>
      </c>
      <c r="L7" s="18">
        <f>IF(ISNUMBER($J$3),$J$3,$E$3)</f>
        <v/>
      </c>
    </row>
    <row r="8">
      <c r="A8" s="19">
        <f>IF(OR(ISNUMBER($H$3),ISNUMBER($J$3)),"Предыдущий, той же длины","Прошлый, те же дни")</f>
        <v/>
      </c>
      <c r="B8" s="20">
        <f>SUMIFS('Данные'!$C:$C,'Данные'!$A:$A,"&gt;="&amp;$K$8,'Данные'!$A:$A,"&lt;"&amp;$L$8+1)</f>
        <v/>
      </c>
      <c r="C8" s="20">
        <f>B8*(100+22)/100</f>
        <v/>
      </c>
      <c r="D8" s="21">
        <f>SUMIFS('Данные'!$D:$D,'Данные'!$A:$A,"&gt;="&amp;$K$8,'Данные'!$A:$A,"&lt;"&amp;$L$8+1)</f>
        <v/>
      </c>
      <c r="E8" s="21">
        <f>SUMIFS('Данные'!$E:$E,'Данные'!$A:$A,"&gt;="&amp;$K$8,'Данные'!$A:$A,"&lt;"&amp;$L$8+1)</f>
        <v/>
      </c>
      <c r="F8" s="22">
        <f>IFERROR(E8/D8,"")</f>
        <v/>
      </c>
      <c r="G8" s="23">
        <f>IFERROR(B8/E8,"")</f>
        <v/>
      </c>
      <c r="H8" s="21">
        <f>SUMIFS('Данные'!$F:$F,'Данные'!$A:$A,"&gt;="&amp;$K$8,'Данные'!$A:$A,"&lt;"&amp;$L$8+1)</f>
        <v/>
      </c>
      <c r="I8" s="23">
        <f>IFERROR(B8/H8,"")</f>
        <v/>
      </c>
      <c r="J8" s="24">
        <f>IFERROR(H8/E8,"")</f>
        <v/>
      </c>
      <c r="K8" s="25">
        <f>IF(OR(ISNUMBER($H$3),ISNUMBER($J$3)),2*K7-L7-1,EDATE(K7,-1))</f>
        <v/>
      </c>
      <c r="L8" s="25">
        <f>IF(OR(ISNUMBER($H$3),ISNUMBER($J$3)),K7-1,EDATE(L7,-1))</f>
        <v/>
      </c>
    </row>
    <row r="9">
      <c r="A9" s="26" t="inlineStr">
        <is>
          <t>Изменение</t>
        </is>
      </c>
      <c r="B9" s="27">
        <f>IFERROR(B7/B8-1,"")</f>
        <v/>
      </c>
      <c r="C9" s="27">
        <f>IFERROR(C7/C8-1,"")</f>
        <v/>
      </c>
      <c r="D9" s="27">
        <f>IFERROR(D7/D8-1,"")</f>
        <v/>
      </c>
      <c r="E9" s="27">
        <f>IFERROR(E7/E8-1,"")</f>
        <v/>
      </c>
      <c r="F9" s="27">
        <f>IFERROR(F7/F8-1,"")</f>
        <v/>
      </c>
      <c r="G9" s="27">
        <f>IFERROR(G7/G8-1,"")</f>
        <v/>
      </c>
      <c r="H9" s="27">
        <f>IFERROR(H7/H8-1,"")</f>
        <v/>
      </c>
      <c r="I9" s="27">
        <f>IFERROR(I7/I8-1,"")</f>
        <v/>
      </c>
      <c r="J9" s="27">
        <f>IFERROR(J7/J8-1,"")</f>
        <v/>
      </c>
      <c r="K9" s="28" t="n"/>
      <c r="L9" s="28" t="n"/>
    </row>
    <row r="11">
      <c r="A11" s="9">
        <f>"🏥 Направления за "&amp;TEXT($K$7,"DD.MM.YYYY")&amp;" — "&amp;TEXT($L$7,"DD.MM.YYYY")&amp;" (те же даты, что выше)"</f>
        <v/>
      </c>
    </row>
    <row r="12">
      <c r="A12" s="11" t="inlineStr">
        <is>
          <t>Направление</t>
        </is>
      </c>
      <c r="B12" s="11" t="inlineStr">
        <is>
          <t>Расход</t>
        </is>
      </c>
      <c r="C12" s="11" t="inlineStr">
        <is>
          <t>Расход с НДС</t>
        </is>
      </c>
      <c r="D12" s="11" t="inlineStr">
        <is>
          <t>Показы</t>
        </is>
      </c>
      <c r="E12" s="11" t="inlineStr">
        <is>
          <t>Клики</t>
        </is>
      </c>
      <c r="F12" s="11" t="inlineStr">
        <is>
          <t>CTR</t>
        </is>
      </c>
      <c r="G12" s="11" t="inlineStr">
        <is>
          <t>CPC</t>
        </is>
      </c>
      <c r="H12" s="11" t="inlineStr">
        <is>
          <t>Подписки</t>
        </is>
      </c>
      <c r="I12" s="11" t="inlineStr">
        <is>
          <t>Цена подписки</t>
        </is>
      </c>
      <c r="J12" s="11" t="inlineStr">
        <is>
          <t>CR в подписку</t>
        </is>
      </c>
      <c r="K12" s="11" t="inlineStr">
        <is>
          <t>Доля расхода</t>
        </is>
      </c>
    </row>
    <row r="13">
      <c r="A13" s="29">
        <f>'⚙ Настройки'!$A$2</f>
        <v/>
      </c>
      <c r="B13" s="30">
        <f>SUMIFS('Данные'!$C:$C,'Данные'!$A:$A,"&gt;="&amp;$K$7,'Данные'!$A:$A,"&lt;"&amp;$L$7+1,'Данные'!$B:$B,$A13)</f>
        <v/>
      </c>
      <c r="C13" s="30">
        <f>B13*(100+22)/100</f>
        <v/>
      </c>
      <c r="D13" s="31">
        <f>SUMIFS('Данные'!$D:$D,'Данные'!$A:$A,"&gt;="&amp;$K$7,'Данные'!$A:$A,"&lt;"&amp;$L$7+1,'Данные'!$B:$B,$A13)</f>
        <v/>
      </c>
      <c r="E13" s="31">
        <f>SUMIFS('Данные'!$E:$E,'Данные'!$A:$A,"&gt;="&amp;$K$7,'Данные'!$A:$A,"&lt;"&amp;$L$7+1,'Данные'!$B:$B,$A13)</f>
        <v/>
      </c>
      <c r="F13" s="32">
        <f>IFERROR(E13/D13,"")</f>
        <v/>
      </c>
      <c r="G13" s="33">
        <f>IFERROR(B13/E13,"")</f>
        <v/>
      </c>
      <c r="H13" s="31">
        <f>SUMIFS('Данные'!$F:$F,'Данные'!$A:$A,"&gt;="&amp;$K$7,'Данные'!$A:$A,"&lt;"&amp;$L$7+1,'Данные'!$B:$B,$A13)</f>
        <v/>
      </c>
      <c r="I13" s="33">
        <f>IFERROR(B13/H13,"")</f>
        <v/>
      </c>
      <c r="J13" s="34">
        <f>IFERROR(H13/E13,"")</f>
        <v/>
      </c>
      <c r="K13" s="35">
        <f>IFERROR(B13/$B$16,"")</f>
        <v/>
      </c>
    </row>
    <row r="14">
      <c r="A14" s="36">
        <f>'⚙ Настройки'!$A$3</f>
        <v/>
      </c>
      <c r="B14" s="37">
        <f>SUMIFS('Данные'!$C:$C,'Данные'!$A:$A,"&gt;="&amp;$K$7,'Данные'!$A:$A,"&lt;"&amp;$L$7+1,'Данные'!$B:$B,$A14)</f>
        <v/>
      </c>
      <c r="C14" s="37">
        <f>B14*(100+22)/100</f>
        <v/>
      </c>
      <c r="D14" s="38">
        <f>SUMIFS('Данные'!$D:$D,'Данные'!$A:$A,"&gt;="&amp;$K$7,'Данные'!$A:$A,"&lt;"&amp;$L$7+1,'Данные'!$B:$B,$A14)</f>
        <v/>
      </c>
      <c r="E14" s="38">
        <f>SUMIFS('Данные'!$E:$E,'Данные'!$A:$A,"&gt;="&amp;$K$7,'Данные'!$A:$A,"&lt;"&amp;$L$7+1,'Данные'!$B:$B,$A14)</f>
        <v/>
      </c>
      <c r="F14" s="39">
        <f>IFERROR(E14/D14,"")</f>
        <v/>
      </c>
      <c r="G14" s="40">
        <f>IFERROR(B14/E14,"")</f>
        <v/>
      </c>
      <c r="H14" s="38">
        <f>SUMIFS('Данные'!$F:$F,'Данные'!$A:$A,"&gt;="&amp;$K$7,'Данные'!$A:$A,"&lt;"&amp;$L$7+1,'Данные'!$B:$B,$A14)</f>
        <v/>
      </c>
      <c r="I14" s="40">
        <f>IFERROR(B14/H14,"")</f>
        <v/>
      </c>
      <c r="J14" s="41">
        <f>IFERROR(H14/E14,"")</f>
        <v/>
      </c>
      <c r="K14" s="42">
        <f>IFERROR(B14/$B$16,"")</f>
        <v/>
      </c>
    </row>
    <row r="15">
      <c r="A15" s="29">
        <f>'⚙ Настройки'!$A$4</f>
        <v/>
      </c>
      <c r="B15" s="30">
        <f>SUMIFS('Данные'!$C:$C,'Данные'!$A:$A,"&gt;="&amp;$K$7,'Данные'!$A:$A,"&lt;"&amp;$L$7+1,'Данные'!$B:$B,$A15)</f>
        <v/>
      </c>
      <c r="C15" s="30">
        <f>B15*(100+22)/100</f>
        <v/>
      </c>
      <c r="D15" s="31">
        <f>SUMIFS('Данные'!$D:$D,'Данные'!$A:$A,"&gt;="&amp;$K$7,'Данные'!$A:$A,"&lt;"&amp;$L$7+1,'Данные'!$B:$B,$A15)</f>
        <v/>
      </c>
      <c r="E15" s="31">
        <f>SUMIFS('Данные'!$E:$E,'Данные'!$A:$A,"&gt;="&amp;$K$7,'Данные'!$A:$A,"&lt;"&amp;$L$7+1,'Данные'!$B:$B,$A15)</f>
        <v/>
      </c>
      <c r="F15" s="32">
        <f>IFERROR(E15/D15,"")</f>
        <v/>
      </c>
      <c r="G15" s="33">
        <f>IFERROR(B15/E15,"")</f>
        <v/>
      </c>
      <c r="H15" s="31">
        <f>SUMIFS('Данные'!$F:$F,'Данные'!$A:$A,"&gt;="&amp;$K$7,'Данные'!$A:$A,"&lt;"&amp;$L$7+1,'Данные'!$B:$B,$A15)</f>
        <v/>
      </c>
      <c r="I15" s="33">
        <f>IFERROR(B15/H15,"")</f>
        <v/>
      </c>
      <c r="J15" s="34">
        <f>IFERROR(H15/E15,"")</f>
        <v/>
      </c>
      <c r="K15" s="35">
        <f>IFERROR(B15/$B$16,"")</f>
        <v/>
      </c>
    </row>
    <row r="16">
      <c r="A16" s="43" t="inlineStr">
        <is>
          <t>Итого</t>
        </is>
      </c>
      <c r="B16" s="44">
        <f>SUM(B13:B15)</f>
        <v/>
      </c>
      <c r="C16" s="44">
        <f>B16*(100+22)/100</f>
        <v/>
      </c>
      <c r="D16" s="45">
        <f>SUM(D13:D15)</f>
        <v/>
      </c>
      <c r="E16" s="45">
        <f>SUM(E13:E15)</f>
        <v/>
      </c>
      <c r="F16" s="46">
        <f>IFERROR(E16/D16,"")</f>
        <v/>
      </c>
      <c r="G16" s="47">
        <f>IFERROR(B16/E16,"")</f>
        <v/>
      </c>
      <c r="H16" s="45">
        <f>SUM(H13:H15)</f>
        <v/>
      </c>
      <c r="I16" s="47">
        <f>IFERROR(B16/H16,"")</f>
        <v/>
      </c>
      <c r="J16" s="48">
        <f>IFERROR(H16/E16,"")</f>
        <v/>
      </c>
      <c r="K16" s="49">
        <f>IFERROR(B16/$B$16,"")</f>
        <v/>
      </c>
    </row>
    <row r="18">
      <c r="A18" s="9" t="inlineStr">
        <is>
          <t>🧭 Подписки по направлениям, по неделям</t>
        </is>
      </c>
      <c r="D18" s="7" t="inlineStr">
        <is>
          <t>Тенденция:</t>
        </is>
      </c>
      <c r="E18" s="50">
        <f>IFERROR(SLOPE(E20:E45,{1;2;3;4;5;6;7;8;9;10;11;12;13;14;15;16;17;18;19;20;21;22;23;24;25;26})/AVERAGE(E20:E45),"")</f>
        <v/>
      </c>
      <c r="F18" s="4" t="inlineStr">
        <is>
          <t>в неделю</t>
        </is>
      </c>
    </row>
    <row r="19">
      <c r="A19" s="11" t="inlineStr">
        <is>
          <t>Неделя</t>
        </is>
      </c>
      <c r="B19" s="11">
        <f>'⚙ Настройки'!$A$2</f>
        <v/>
      </c>
      <c r="C19" s="11">
        <f>'⚙ Настройки'!$A$3</f>
        <v/>
      </c>
      <c r="D19" s="11">
        <f>'⚙ Настройки'!$A$4</f>
        <v/>
      </c>
      <c r="E19" s="11" t="inlineStr">
        <is>
          <t>Итого</t>
        </is>
      </c>
      <c r="F19" s="11" t="inlineStr">
        <is>
          <t>К прошлой</t>
        </is>
      </c>
    </row>
    <row r="20">
      <c r="A20" s="29">
        <f>TEXT((($E$3-WEEKDAY($E$3,2)+1-7*(WEEKDAY($E$3,2)&lt;7))-7*25),"DD.MM")&amp;"–"&amp;TEXT((($E$3-WEEKDAY($E$3,2)+1-7*(WEEKDAY($E$3,2)&lt;7))-7*25)+6,"DD.MM.YYYY")</f>
        <v/>
      </c>
      <c r="B20" s="31">
        <f>SUMIFS('Данные'!$F:$F,'Данные'!$A:$A,"&gt;="&amp;(($E$3-WEEKDAY($E$3,2)+1-7*(WEEKDAY($E$3,2)&lt;7))-7*25),'Данные'!$A:$A,"&lt;"&amp;((($E$3-WEEKDAY($E$3,2)+1-7*(WEEKDAY($E$3,2)&lt;7))-7*25)+6)+1,'Данные'!$B:$B,B$19)</f>
        <v/>
      </c>
      <c r="C20" s="31">
        <f>SUMIFS('Данные'!$F:$F,'Данные'!$A:$A,"&gt;="&amp;(($E$3-WEEKDAY($E$3,2)+1-7*(WEEKDAY($E$3,2)&lt;7))-7*25),'Данные'!$A:$A,"&lt;"&amp;((($E$3-WEEKDAY($E$3,2)+1-7*(WEEKDAY($E$3,2)&lt;7))-7*25)+6)+1,'Данные'!$B:$B,C$19)</f>
        <v/>
      </c>
      <c r="D20" s="31">
        <f>SUMIFS('Данные'!$F:$F,'Данные'!$A:$A,"&gt;="&amp;(($E$3-WEEKDAY($E$3,2)+1-7*(WEEKDAY($E$3,2)&lt;7))-7*25),'Данные'!$A:$A,"&lt;"&amp;((($E$3-WEEKDAY($E$3,2)+1-7*(WEEKDAY($E$3,2)&lt;7))-7*25)+6)+1,'Данные'!$B:$B,D$19)</f>
        <v/>
      </c>
      <c r="E20" s="51">
        <f>SUM(B20:D20)</f>
        <v/>
      </c>
      <c r="F20" s="52" t="n"/>
    </row>
    <row r="21">
      <c r="A21" s="36">
        <f>TEXT((($E$3-WEEKDAY($E$3,2)+1-7*(WEEKDAY($E$3,2)&lt;7))-7*24),"DD.MM")&amp;"–"&amp;TEXT((($E$3-WEEKDAY($E$3,2)+1-7*(WEEKDAY($E$3,2)&lt;7))-7*24)+6,"DD.MM.YYYY")</f>
        <v/>
      </c>
      <c r="B21" s="38">
        <f>SUMIFS('Данные'!$F:$F,'Данные'!$A:$A,"&gt;="&amp;(($E$3-WEEKDAY($E$3,2)+1-7*(WEEKDAY($E$3,2)&lt;7))-7*24),'Данные'!$A:$A,"&lt;"&amp;((($E$3-WEEKDAY($E$3,2)+1-7*(WEEKDAY($E$3,2)&lt;7))-7*24)+6)+1,'Данные'!$B:$B,B$19)</f>
        <v/>
      </c>
      <c r="C21" s="38">
        <f>SUMIFS('Данные'!$F:$F,'Данные'!$A:$A,"&gt;="&amp;(($E$3-WEEKDAY($E$3,2)+1-7*(WEEKDAY($E$3,2)&lt;7))-7*24),'Данные'!$A:$A,"&lt;"&amp;((($E$3-WEEKDAY($E$3,2)+1-7*(WEEKDAY($E$3,2)&lt;7))-7*24)+6)+1,'Данные'!$B:$B,C$19)</f>
        <v/>
      </c>
      <c r="D21" s="38">
        <f>SUMIFS('Данные'!$F:$F,'Данные'!$A:$A,"&gt;="&amp;(($E$3-WEEKDAY($E$3,2)+1-7*(WEEKDAY($E$3,2)&lt;7))-7*24),'Данные'!$A:$A,"&lt;"&amp;((($E$3-WEEKDAY($E$3,2)+1-7*(WEEKDAY($E$3,2)&lt;7))-7*24)+6)+1,'Данные'!$B:$B,D$19)</f>
        <v/>
      </c>
      <c r="E21" s="53">
        <f>SUM(B21:D21)</f>
        <v/>
      </c>
      <c r="F21" s="54">
        <f>IFERROR(E21/E20-1,"")</f>
        <v/>
      </c>
    </row>
    <row r="22">
      <c r="A22" s="29">
        <f>TEXT((($E$3-WEEKDAY($E$3,2)+1-7*(WEEKDAY($E$3,2)&lt;7))-7*23),"DD.MM")&amp;"–"&amp;TEXT((($E$3-WEEKDAY($E$3,2)+1-7*(WEEKDAY($E$3,2)&lt;7))-7*23)+6,"DD.MM.YYYY")</f>
        <v/>
      </c>
      <c r="B22" s="31">
        <f>SUMIFS('Данные'!$F:$F,'Данные'!$A:$A,"&gt;="&amp;(($E$3-WEEKDAY($E$3,2)+1-7*(WEEKDAY($E$3,2)&lt;7))-7*23),'Данные'!$A:$A,"&lt;"&amp;((($E$3-WEEKDAY($E$3,2)+1-7*(WEEKDAY($E$3,2)&lt;7))-7*23)+6)+1,'Данные'!$B:$B,B$19)</f>
        <v/>
      </c>
      <c r="C22" s="31">
        <f>SUMIFS('Данные'!$F:$F,'Данные'!$A:$A,"&gt;="&amp;(($E$3-WEEKDAY($E$3,2)+1-7*(WEEKDAY($E$3,2)&lt;7))-7*23),'Данные'!$A:$A,"&lt;"&amp;((($E$3-WEEKDAY($E$3,2)+1-7*(WEEKDAY($E$3,2)&lt;7))-7*23)+6)+1,'Данные'!$B:$B,C$19)</f>
        <v/>
      </c>
      <c r="D22" s="31">
        <f>SUMIFS('Данные'!$F:$F,'Данные'!$A:$A,"&gt;="&amp;(($E$3-WEEKDAY($E$3,2)+1-7*(WEEKDAY($E$3,2)&lt;7))-7*23),'Данные'!$A:$A,"&lt;"&amp;((($E$3-WEEKDAY($E$3,2)+1-7*(WEEKDAY($E$3,2)&lt;7))-7*23)+6)+1,'Данные'!$B:$B,D$19)</f>
        <v/>
      </c>
      <c r="E22" s="51">
        <f>SUM(B22:D22)</f>
        <v/>
      </c>
      <c r="F22" s="52">
        <f>IFERROR(E22/E21-1,"")</f>
        <v/>
      </c>
    </row>
    <row r="23">
      <c r="A23" s="36">
        <f>TEXT((($E$3-WEEKDAY($E$3,2)+1-7*(WEEKDAY($E$3,2)&lt;7))-7*22),"DD.MM")&amp;"–"&amp;TEXT((($E$3-WEEKDAY($E$3,2)+1-7*(WEEKDAY($E$3,2)&lt;7))-7*22)+6,"DD.MM.YYYY")</f>
        <v/>
      </c>
      <c r="B23" s="38">
        <f>SUMIFS('Данные'!$F:$F,'Данные'!$A:$A,"&gt;="&amp;(($E$3-WEEKDAY($E$3,2)+1-7*(WEEKDAY($E$3,2)&lt;7))-7*22),'Данные'!$A:$A,"&lt;"&amp;((($E$3-WEEKDAY($E$3,2)+1-7*(WEEKDAY($E$3,2)&lt;7))-7*22)+6)+1,'Данные'!$B:$B,B$19)</f>
        <v/>
      </c>
      <c r="C23" s="38">
        <f>SUMIFS('Данные'!$F:$F,'Данные'!$A:$A,"&gt;="&amp;(($E$3-WEEKDAY($E$3,2)+1-7*(WEEKDAY($E$3,2)&lt;7))-7*22),'Данные'!$A:$A,"&lt;"&amp;((($E$3-WEEKDAY($E$3,2)+1-7*(WEEKDAY($E$3,2)&lt;7))-7*22)+6)+1,'Данные'!$B:$B,C$19)</f>
        <v/>
      </c>
      <c r="D23" s="38">
        <f>SUMIFS('Данные'!$F:$F,'Данные'!$A:$A,"&gt;="&amp;(($E$3-WEEKDAY($E$3,2)+1-7*(WEEKDAY($E$3,2)&lt;7))-7*22),'Данные'!$A:$A,"&lt;"&amp;((($E$3-WEEKDAY($E$3,2)+1-7*(WEEKDAY($E$3,2)&lt;7))-7*22)+6)+1,'Данные'!$B:$B,D$19)</f>
        <v/>
      </c>
      <c r="E23" s="53">
        <f>SUM(B23:D23)</f>
        <v/>
      </c>
      <c r="F23" s="54">
        <f>IFERROR(E23/E22-1,"")</f>
        <v/>
      </c>
    </row>
    <row r="24">
      <c r="A24" s="29">
        <f>TEXT((($E$3-WEEKDAY($E$3,2)+1-7*(WEEKDAY($E$3,2)&lt;7))-7*21),"DD.MM")&amp;"–"&amp;TEXT((($E$3-WEEKDAY($E$3,2)+1-7*(WEEKDAY($E$3,2)&lt;7))-7*21)+6,"DD.MM.YYYY")</f>
        <v/>
      </c>
      <c r="B24" s="31">
        <f>SUMIFS('Данные'!$F:$F,'Данные'!$A:$A,"&gt;="&amp;(($E$3-WEEKDAY($E$3,2)+1-7*(WEEKDAY($E$3,2)&lt;7))-7*21),'Данные'!$A:$A,"&lt;"&amp;((($E$3-WEEKDAY($E$3,2)+1-7*(WEEKDAY($E$3,2)&lt;7))-7*21)+6)+1,'Данные'!$B:$B,B$19)</f>
        <v/>
      </c>
      <c r="C24" s="31">
        <f>SUMIFS('Данные'!$F:$F,'Данные'!$A:$A,"&gt;="&amp;(($E$3-WEEKDAY($E$3,2)+1-7*(WEEKDAY($E$3,2)&lt;7))-7*21),'Данные'!$A:$A,"&lt;"&amp;((($E$3-WEEKDAY($E$3,2)+1-7*(WEEKDAY($E$3,2)&lt;7))-7*21)+6)+1,'Данные'!$B:$B,C$19)</f>
        <v/>
      </c>
      <c r="D24" s="31">
        <f>SUMIFS('Данные'!$F:$F,'Данные'!$A:$A,"&gt;="&amp;(($E$3-WEEKDAY($E$3,2)+1-7*(WEEKDAY($E$3,2)&lt;7))-7*21),'Данные'!$A:$A,"&lt;"&amp;((($E$3-WEEKDAY($E$3,2)+1-7*(WEEKDAY($E$3,2)&lt;7))-7*21)+6)+1,'Данные'!$B:$B,D$19)</f>
        <v/>
      </c>
      <c r="E24" s="51">
        <f>SUM(B24:D24)</f>
        <v/>
      </c>
      <c r="F24" s="52">
        <f>IFERROR(E24/E23-1,"")</f>
        <v/>
      </c>
    </row>
    <row r="25">
      <c r="A25" s="36">
        <f>TEXT((($E$3-WEEKDAY($E$3,2)+1-7*(WEEKDAY($E$3,2)&lt;7))-7*20),"DD.MM")&amp;"–"&amp;TEXT((($E$3-WEEKDAY($E$3,2)+1-7*(WEEKDAY($E$3,2)&lt;7))-7*20)+6,"DD.MM.YYYY")</f>
        <v/>
      </c>
      <c r="B25" s="38">
        <f>SUMIFS('Данные'!$F:$F,'Данные'!$A:$A,"&gt;="&amp;(($E$3-WEEKDAY($E$3,2)+1-7*(WEEKDAY($E$3,2)&lt;7))-7*20),'Данные'!$A:$A,"&lt;"&amp;((($E$3-WEEKDAY($E$3,2)+1-7*(WEEKDAY($E$3,2)&lt;7))-7*20)+6)+1,'Данные'!$B:$B,B$19)</f>
        <v/>
      </c>
      <c r="C25" s="38">
        <f>SUMIFS('Данные'!$F:$F,'Данные'!$A:$A,"&gt;="&amp;(($E$3-WEEKDAY($E$3,2)+1-7*(WEEKDAY($E$3,2)&lt;7))-7*20),'Данные'!$A:$A,"&lt;"&amp;((($E$3-WEEKDAY($E$3,2)+1-7*(WEEKDAY($E$3,2)&lt;7))-7*20)+6)+1,'Данные'!$B:$B,C$19)</f>
        <v/>
      </c>
      <c r="D25" s="38">
        <f>SUMIFS('Данные'!$F:$F,'Данные'!$A:$A,"&gt;="&amp;(($E$3-WEEKDAY($E$3,2)+1-7*(WEEKDAY($E$3,2)&lt;7))-7*20),'Данные'!$A:$A,"&lt;"&amp;((($E$3-WEEKDAY($E$3,2)+1-7*(WEEKDAY($E$3,2)&lt;7))-7*20)+6)+1,'Данные'!$B:$B,D$19)</f>
        <v/>
      </c>
      <c r="E25" s="53">
        <f>SUM(B25:D25)</f>
        <v/>
      </c>
      <c r="F25" s="54">
        <f>IFERROR(E25/E24-1,"")</f>
        <v/>
      </c>
    </row>
    <row r="26">
      <c r="A26" s="29">
        <f>TEXT((($E$3-WEEKDAY($E$3,2)+1-7*(WEEKDAY($E$3,2)&lt;7))-7*19),"DD.MM")&amp;"–"&amp;TEXT((($E$3-WEEKDAY($E$3,2)+1-7*(WEEKDAY($E$3,2)&lt;7))-7*19)+6,"DD.MM.YYYY")</f>
        <v/>
      </c>
      <c r="B26" s="31">
        <f>SUMIFS('Данные'!$F:$F,'Данные'!$A:$A,"&gt;="&amp;(($E$3-WEEKDAY($E$3,2)+1-7*(WEEKDAY($E$3,2)&lt;7))-7*19),'Данные'!$A:$A,"&lt;"&amp;((($E$3-WEEKDAY($E$3,2)+1-7*(WEEKDAY($E$3,2)&lt;7))-7*19)+6)+1,'Данные'!$B:$B,B$19)</f>
        <v/>
      </c>
      <c r="C26" s="31">
        <f>SUMIFS('Данные'!$F:$F,'Данные'!$A:$A,"&gt;="&amp;(($E$3-WEEKDAY($E$3,2)+1-7*(WEEKDAY($E$3,2)&lt;7))-7*19),'Данные'!$A:$A,"&lt;"&amp;((($E$3-WEEKDAY($E$3,2)+1-7*(WEEKDAY($E$3,2)&lt;7))-7*19)+6)+1,'Данные'!$B:$B,C$19)</f>
        <v/>
      </c>
      <c r="D26" s="31">
        <f>SUMIFS('Данные'!$F:$F,'Данные'!$A:$A,"&gt;="&amp;(($E$3-WEEKDAY($E$3,2)+1-7*(WEEKDAY($E$3,2)&lt;7))-7*19),'Данные'!$A:$A,"&lt;"&amp;((($E$3-WEEKDAY($E$3,2)+1-7*(WEEKDAY($E$3,2)&lt;7))-7*19)+6)+1,'Данные'!$B:$B,D$19)</f>
        <v/>
      </c>
      <c r="E26" s="51">
        <f>SUM(B26:D26)</f>
        <v/>
      </c>
      <c r="F26" s="52">
        <f>IFERROR(E26/E25-1,"")</f>
        <v/>
      </c>
    </row>
    <row r="27">
      <c r="A27" s="36">
        <f>TEXT((($E$3-WEEKDAY($E$3,2)+1-7*(WEEKDAY($E$3,2)&lt;7))-7*18),"DD.MM")&amp;"–"&amp;TEXT((($E$3-WEEKDAY($E$3,2)+1-7*(WEEKDAY($E$3,2)&lt;7))-7*18)+6,"DD.MM.YYYY")</f>
        <v/>
      </c>
      <c r="B27" s="38">
        <f>SUMIFS('Данные'!$F:$F,'Данные'!$A:$A,"&gt;="&amp;(($E$3-WEEKDAY($E$3,2)+1-7*(WEEKDAY($E$3,2)&lt;7))-7*18),'Данные'!$A:$A,"&lt;"&amp;((($E$3-WEEKDAY($E$3,2)+1-7*(WEEKDAY($E$3,2)&lt;7))-7*18)+6)+1,'Данные'!$B:$B,B$19)</f>
        <v/>
      </c>
      <c r="C27" s="38">
        <f>SUMIFS('Данные'!$F:$F,'Данные'!$A:$A,"&gt;="&amp;(($E$3-WEEKDAY($E$3,2)+1-7*(WEEKDAY($E$3,2)&lt;7))-7*18),'Данные'!$A:$A,"&lt;"&amp;((($E$3-WEEKDAY($E$3,2)+1-7*(WEEKDAY($E$3,2)&lt;7))-7*18)+6)+1,'Данные'!$B:$B,C$19)</f>
        <v/>
      </c>
      <c r="D27" s="38">
        <f>SUMIFS('Данные'!$F:$F,'Данные'!$A:$A,"&gt;="&amp;(($E$3-WEEKDAY($E$3,2)+1-7*(WEEKDAY($E$3,2)&lt;7))-7*18),'Данные'!$A:$A,"&lt;"&amp;((($E$3-WEEKDAY($E$3,2)+1-7*(WEEKDAY($E$3,2)&lt;7))-7*18)+6)+1,'Данные'!$B:$B,D$19)</f>
        <v/>
      </c>
      <c r="E27" s="53">
        <f>SUM(B27:D27)</f>
        <v/>
      </c>
      <c r="F27" s="54">
        <f>IFERROR(E27/E26-1,"")</f>
        <v/>
      </c>
    </row>
    <row r="28">
      <c r="A28" s="29">
        <f>TEXT((($E$3-WEEKDAY($E$3,2)+1-7*(WEEKDAY($E$3,2)&lt;7))-7*17),"DD.MM")&amp;"–"&amp;TEXT((($E$3-WEEKDAY($E$3,2)+1-7*(WEEKDAY($E$3,2)&lt;7))-7*17)+6,"DD.MM.YYYY")</f>
        <v/>
      </c>
      <c r="B28" s="31">
        <f>SUMIFS('Данные'!$F:$F,'Данные'!$A:$A,"&gt;="&amp;(($E$3-WEEKDAY($E$3,2)+1-7*(WEEKDAY($E$3,2)&lt;7))-7*17),'Данные'!$A:$A,"&lt;"&amp;((($E$3-WEEKDAY($E$3,2)+1-7*(WEEKDAY($E$3,2)&lt;7))-7*17)+6)+1,'Данные'!$B:$B,B$19)</f>
        <v/>
      </c>
      <c r="C28" s="31">
        <f>SUMIFS('Данные'!$F:$F,'Данные'!$A:$A,"&gt;="&amp;(($E$3-WEEKDAY($E$3,2)+1-7*(WEEKDAY($E$3,2)&lt;7))-7*17),'Данные'!$A:$A,"&lt;"&amp;((($E$3-WEEKDAY($E$3,2)+1-7*(WEEKDAY($E$3,2)&lt;7))-7*17)+6)+1,'Данные'!$B:$B,C$19)</f>
        <v/>
      </c>
      <c r="D28" s="31">
        <f>SUMIFS('Данные'!$F:$F,'Данные'!$A:$A,"&gt;="&amp;(($E$3-WEEKDAY($E$3,2)+1-7*(WEEKDAY($E$3,2)&lt;7))-7*17),'Данные'!$A:$A,"&lt;"&amp;((($E$3-WEEKDAY($E$3,2)+1-7*(WEEKDAY($E$3,2)&lt;7))-7*17)+6)+1,'Данные'!$B:$B,D$19)</f>
        <v/>
      </c>
      <c r="E28" s="51">
        <f>SUM(B28:D28)</f>
        <v/>
      </c>
      <c r="F28" s="52">
        <f>IFERROR(E28/E27-1,"")</f>
        <v/>
      </c>
    </row>
    <row r="29">
      <c r="A29" s="36">
        <f>TEXT((($E$3-WEEKDAY($E$3,2)+1-7*(WEEKDAY($E$3,2)&lt;7))-7*16),"DD.MM")&amp;"–"&amp;TEXT((($E$3-WEEKDAY($E$3,2)+1-7*(WEEKDAY($E$3,2)&lt;7))-7*16)+6,"DD.MM.YYYY")</f>
        <v/>
      </c>
      <c r="B29" s="38">
        <f>SUMIFS('Данные'!$F:$F,'Данные'!$A:$A,"&gt;="&amp;(($E$3-WEEKDAY($E$3,2)+1-7*(WEEKDAY($E$3,2)&lt;7))-7*16),'Данные'!$A:$A,"&lt;"&amp;((($E$3-WEEKDAY($E$3,2)+1-7*(WEEKDAY($E$3,2)&lt;7))-7*16)+6)+1,'Данные'!$B:$B,B$19)</f>
        <v/>
      </c>
      <c r="C29" s="38">
        <f>SUMIFS('Данные'!$F:$F,'Данные'!$A:$A,"&gt;="&amp;(($E$3-WEEKDAY($E$3,2)+1-7*(WEEKDAY($E$3,2)&lt;7))-7*16),'Данные'!$A:$A,"&lt;"&amp;((($E$3-WEEKDAY($E$3,2)+1-7*(WEEKDAY($E$3,2)&lt;7))-7*16)+6)+1,'Данные'!$B:$B,C$19)</f>
        <v/>
      </c>
      <c r="D29" s="38">
        <f>SUMIFS('Данные'!$F:$F,'Данные'!$A:$A,"&gt;="&amp;(($E$3-WEEKDAY($E$3,2)+1-7*(WEEKDAY($E$3,2)&lt;7))-7*16),'Данные'!$A:$A,"&lt;"&amp;((($E$3-WEEKDAY($E$3,2)+1-7*(WEEKDAY($E$3,2)&lt;7))-7*16)+6)+1,'Данные'!$B:$B,D$19)</f>
        <v/>
      </c>
      <c r="E29" s="53">
        <f>SUM(B29:D29)</f>
        <v/>
      </c>
      <c r="F29" s="54">
        <f>IFERROR(E29/E28-1,"")</f>
        <v/>
      </c>
    </row>
    <row r="30">
      <c r="A30" s="29">
        <f>TEXT((($E$3-WEEKDAY($E$3,2)+1-7*(WEEKDAY($E$3,2)&lt;7))-7*15),"DD.MM")&amp;"–"&amp;TEXT((($E$3-WEEKDAY($E$3,2)+1-7*(WEEKDAY($E$3,2)&lt;7))-7*15)+6,"DD.MM.YYYY")</f>
        <v/>
      </c>
      <c r="B30" s="31">
        <f>SUMIFS('Данные'!$F:$F,'Данные'!$A:$A,"&gt;="&amp;(($E$3-WEEKDAY($E$3,2)+1-7*(WEEKDAY($E$3,2)&lt;7))-7*15),'Данные'!$A:$A,"&lt;"&amp;((($E$3-WEEKDAY($E$3,2)+1-7*(WEEKDAY($E$3,2)&lt;7))-7*15)+6)+1,'Данные'!$B:$B,B$19)</f>
        <v/>
      </c>
      <c r="C30" s="31">
        <f>SUMIFS('Данные'!$F:$F,'Данные'!$A:$A,"&gt;="&amp;(($E$3-WEEKDAY($E$3,2)+1-7*(WEEKDAY($E$3,2)&lt;7))-7*15),'Данные'!$A:$A,"&lt;"&amp;((($E$3-WEEKDAY($E$3,2)+1-7*(WEEKDAY($E$3,2)&lt;7))-7*15)+6)+1,'Данные'!$B:$B,C$19)</f>
        <v/>
      </c>
      <c r="D30" s="31">
        <f>SUMIFS('Данные'!$F:$F,'Данные'!$A:$A,"&gt;="&amp;(($E$3-WEEKDAY($E$3,2)+1-7*(WEEKDAY($E$3,2)&lt;7))-7*15),'Данные'!$A:$A,"&lt;"&amp;((($E$3-WEEKDAY($E$3,2)+1-7*(WEEKDAY($E$3,2)&lt;7))-7*15)+6)+1,'Данные'!$B:$B,D$19)</f>
        <v/>
      </c>
      <c r="E30" s="51">
        <f>SUM(B30:D30)</f>
        <v/>
      </c>
      <c r="F30" s="52">
        <f>IFERROR(E30/E29-1,"")</f>
        <v/>
      </c>
    </row>
    <row r="31">
      <c r="A31" s="36">
        <f>TEXT((($E$3-WEEKDAY($E$3,2)+1-7*(WEEKDAY($E$3,2)&lt;7))-7*14),"DD.MM")&amp;"–"&amp;TEXT((($E$3-WEEKDAY($E$3,2)+1-7*(WEEKDAY($E$3,2)&lt;7))-7*14)+6,"DD.MM.YYYY")</f>
        <v/>
      </c>
      <c r="B31" s="38">
        <f>SUMIFS('Данные'!$F:$F,'Данные'!$A:$A,"&gt;="&amp;(($E$3-WEEKDAY($E$3,2)+1-7*(WEEKDAY($E$3,2)&lt;7))-7*14),'Данные'!$A:$A,"&lt;"&amp;((($E$3-WEEKDAY($E$3,2)+1-7*(WEEKDAY($E$3,2)&lt;7))-7*14)+6)+1,'Данные'!$B:$B,B$19)</f>
        <v/>
      </c>
      <c r="C31" s="38">
        <f>SUMIFS('Данные'!$F:$F,'Данные'!$A:$A,"&gt;="&amp;(($E$3-WEEKDAY($E$3,2)+1-7*(WEEKDAY($E$3,2)&lt;7))-7*14),'Данные'!$A:$A,"&lt;"&amp;((($E$3-WEEKDAY($E$3,2)+1-7*(WEEKDAY($E$3,2)&lt;7))-7*14)+6)+1,'Данные'!$B:$B,C$19)</f>
        <v/>
      </c>
      <c r="D31" s="38">
        <f>SUMIFS('Данные'!$F:$F,'Данные'!$A:$A,"&gt;="&amp;(($E$3-WEEKDAY($E$3,2)+1-7*(WEEKDAY($E$3,2)&lt;7))-7*14),'Данные'!$A:$A,"&lt;"&amp;((($E$3-WEEKDAY($E$3,2)+1-7*(WEEKDAY($E$3,2)&lt;7))-7*14)+6)+1,'Данные'!$B:$B,D$19)</f>
        <v/>
      </c>
      <c r="E31" s="53">
        <f>SUM(B31:D31)</f>
        <v/>
      </c>
      <c r="F31" s="54">
        <f>IFERROR(E31/E30-1,"")</f>
        <v/>
      </c>
    </row>
    <row r="32">
      <c r="A32" s="29">
        <f>TEXT((($E$3-WEEKDAY($E$3,2)+1-7*(WEEKDAY($E$3,2)&lt;7))-7*13),"DD.MM")&amp;"–"&amp;TEXT((($E$3-WEEKDAY($E$3,2)+1-7*(WEEKDAY($E$3,2)&lt;7))-7*13)+6,"DD.MM.YYYY")</f>
        <v/>
      </c>
      <c r="B32" s="31">
        <f>SUMIFS('Данные'!$F:$F,'Данные'!$A:$A,"&gt;="&amp;(($E$3-WEEKDAY($E$3,2)+1-7*(WEEKDAY($E$3,2)&lt;7))-7*13),'Данные'!$A:$A,"&lt;"&amp;((($E$3-WEEKDAY($E$3,2)+1-7*(WEEKDAY($E$3,2)&lt;7))-7*13)+6)+1,'Данные'!$B:$B,B$19)</f>
        <v/>
      </c>
      <c r="C32" s="31">
        <f>SUMIFS('Данные'!$F:$F,'Данные'!$A:$A,"&gt;="&amp;(($E$3-WEEKDAY($E$3,2)+1-7*(WEEKDAY($E$3,2)&lt;7))-7*13),'Данные'!$A:$A,"&lt;"&amp;((($E$3-WEEKDAY($E$3,2)+1-7*(WEEKDAY($E$3,2)&lt;7))-7*13)+6)+1,'Данные'!$B:$B,C$19)</f>
        <v/>
      </c>
      <c r="D32" s="31">
        <f>SUMIFS('Данные'!$F:$F,'Данные'!$A:$A,"&gt;="&amp;(($E$3-WEEKDAY($E$3,2)+1-7*(WEEKDAY($E$3,2)&lt;7))-7*13),'Данные'!$A:$A,"&lt;"&amp;((($E$3-WEEKDAY($E$3,2)+1-7*(WEEKDAY($E$3,2)&lt;7))-7*13)+6)+1,'Данные'!$B:$B,D$19)</f>
        <v/>
      </c>
      <c r="E32" s="51">
        <f>SUM(B32:D32)</f>
        <v/>
      </c>
      <c r="F32" s="52">
        <f>IFERROR(E32/E31-1,"")</f>
        <v/>
      </c>
    </row>
    <row r="33">
      <c r="A33" s="36">
        <f>TEXT((($E$3-WEEKDAY($E$3,2)+1-7*(WEEKDAY($E$3,2)&lt;7))-7*12),"DD.MM")&amp;"–"&amp;TEXT((($E$3-WEEKDAY($E$3,2)+1-7*(WEEKDAY($E$3,2)&lt;7))-7*12)+6,"DD.MM.YYYY")</f>
        <v/>
      </c>
      <c r="B33" s="38">
        <f>SUMIFS('Данные'!$F:$F,'Данные'!$A:$A,"&gt;="&amp;(($E$3-WEEKDAY($E$3,2)+1-7*(WEEKDAY($E$3,2)&lt;7))-7*12),'Данные'!$A:$A,"&lt;"&amp;((($E$3-WEEKDAY($E$3,2)+1-7*(WEEKDAY($E$3,2)&lt;7))-7*12)+6)+1,'Данные'!$B:$B,B$19)</f>
        <v/>
      </c>
      <c r="C33" s="38">
        <f>SUMIFS('Данные'!$F:$F,'Данные'!$A:$A,"&gt;="&amp;(($E$3-WEEKDAY($E$3,2)+1-7*(WEEKDAY($E$3,2)&lt;7))-7*12),'Данные'!$A:$A,"&lt;"&amp;((($E$3-WEEKDAY($E$3,2)+1-7*(WEEKDAY($E$3,2)&lt;7))-7*12)+6)+1,'Данные'!$B:$B,C$19)</f>
        <v/>
      </c>
      <c r="D33" s="38">
        <f>SUMIFS('Данные'!$F:$F,'Данные'!$A:$A,"&gt;="&amp;(($E$3-WEEKDAY($E$3,2)+1-7*(WEEKDAY($E$3,2)&lt;7))-7*12),'Данные'!$A:$A,"&lt;"&amp;((($E$3-WEEKDAY($E$3,2)+1-7*(WEEKDAY($E$3,2)&lt;7))-7*12)+6)+1,'Данные'!$B:$B,D$19)</f>
        <v/>
      </c>
      <c r="E33" s="53">
        <f>SUM(B33:D33)</f>
        <v/>
      </c>
      <c r="F33" s="54">
        <f>IFERROR(E33/E32-1,"")</f>
        <v/>
      </c>
    </row>
    <row r="34">
      <c r="A34" s="29">
        <f>TEXT((($E$3-WEEKDAY($E$3,2)+1-7*(WEEKDAY($E$3,2)&lt;7))-7*11),"DD.MM")&amp;"–"&amp;TEXT((($E$3-WEEKDAY($E$3,2)+1-7*(WEEKDAY($E$3,2)&lt;7))-7*11)+6,"DD.MM.YYYY")</f>
        <v/>
      </c>
      <c r="B34" s="31">
        <f>SUMIFS('Данные'!$F:$F,'Данные'!$A:$A,"&gt;="&amp;(($E$3-WEEKDAY($E$3,2)+1-7*(WEEKDAY($E$3,2)&lt;7))-7*11),'Данные'!$A:$A,"&lt;"&amp;((($E$3-WEEKDAY($E$3,2)+1-7*(WEEKDAY($E$3,2)&lt;7))-7*11)+6)+1,'Данные'!$B:$B,B$19)</f>
        <v/>
      </c>
      <c r="C34" s="31">
        <f>SUMIFS('Данные'!$F:$F,'Данные'!$A:$A,"&gt;="&amp;(($E$3-WEEKDAY($E$3,2)+1-7*(WEEKDAY($E$3,2)&lt;7))-7*11),'Данные'!$A:$A,"&lt;"&amp;((($E$3-WEEKDAY($E$3,2)+1-7*(WEEKDAY($E$3,2)&lt;7))-7*11)+6)+1,'Данные'!$B:$B,C$19)</f>
        <v/>
      </c>
      <c r="D34" s="31">
        <f>SUMIFS('Данные'!$F:$F,'Данные'!$A:$A,"&gt;="&amp;(($E$3-WEEKDAY($E$3,2)+1-7*(WEEKDAY($E$3,2)&lt;7))-7*11),'Данные'!$A:$A,"&lt;"&amp;((($E$3-WEEKDAY($E$3,2)+1-7*(WEEKDAY($E$3,2)&lt;7))-7*11)+6)+1,'Данные'!$B:$B,D$19)</f>
        <v/>
      </c>
      <c r="E34" s="51">
        <f>SUM(B34:D34)</f>
        <v/>
      </c>
      <c r="F34" s="52">
        <f>IFERROR(E34/E33-1,"")</f>
        <v/>
      </c>
    </row>
    <row r="35">
      <c r="A35" s="36">
        <f>TEXT((($E$3-WEEKDAY($E$3,2)+1-7*(WEEKDAY($E$3,2)&lt;7))-7*10),"DD.MM")&amp;"–"&amp;TEXT((($E$3-WEEKDAY($E$3,2)+1-7*(WEEKDAY($E$3,2)&lt;7))-7*10)+6,"DD.MM.YYYY")</f>
        <v/>
      </c>
      <c r="B35" s="38">
        <f>SUMIFS('Данные'!$F:$F,'Данные'!$A:$A,"&gt;="&amp;(($E$3-WEEKDAY($E$3,2)+1-7*(WEEKDAY($E$3,2)&lt;7))-7*10),'Данные'!$A:$A,"&lt;"&amp;((($E$3-WEEKDAY($E$3,2)+1-7*(WEEKDAY($E$3,2)&lt;7))-7*10)+6)+1,'Данные'!$B:$B,B$19)</f>
        <v/>
      </c>
      <c r="C35" s="38">
        <f>SUMIFS('Данные'!$F:$F,'Данные'!$A:$A,"&gt;="&amp;(($E$3-WEEKDAY($E$3,2)+1-7*(WEEKDAY($E$3,2)&lt;7))-7*10),'Данные'!$A:$A,"&lt;"&amp;((($E$3-WEEKDAY($E$3,2)+1-7*(WEEKDAY($E$3,2)&lt;7))-7*10)+6)+1,'Данные'!$B:$B,C$19)</f>
        <v/>
      </c>
      <c r="D35" s="38">
        <f>SUMIFS('Данные'!$F:$F,'Данные'!$A:$A,"&gt;="&amp;(($E$3-WEEKDAY($E$3,2)+1-7*(WEEKDAY($E$3,2)&lt;7))-7*10),'Данные'!$A:$A,"&lt;"&amp;((($E$3-WEEKDAY($E$3,2)+1-7*(WEEKDAY($E$3,2)&lt;7))-7*10)+6)+1,'Данные'!$B:$B,D$19)</f>
        <v/>
      </c>
      <c r="E35" s="53">
        <f>SUM(B35:D35)</f>
        <v/>
      </c>
      <c r="F35" s="54">
        <f>IFERROR(E35/E34-1,"")</f>
        <v/>
      </c>
    </row>
    <row r="36">
      <c r="A36" s="29">
        <f>TEXT((($E$3-WEEKDAY($E$3,2)+1-7*(WEEKDAY($E$3,2)&lt;7))-7*9),"DD.MM")&amp;"–"&amp;TEXT((($E$3-WEEKDAY($E$3,2)+1-7*(WEEKDAY($E$3,2)&lt;7))-7*9)+6,"DD.MM.YYYY")</f>
        <v/>
      </c>
      <c r="B36" s="31">
        <f>SUMIFS('Данные'!$F:$F,'Данные'!$A:$A,"&gt;="&amp;(($E$3-WEEKDAY($E$3,2)+1-7*(WEEKDAY($E$3,2)&lt;7))-7*9),'Данные'!$A:$A,"&lt;"&amp;((($E$3-WEEKDAY($E$3,2)+1-7*(WEEKDAY($E$3,2)&lt;7))-7*9)+6)+1,'Данные'!$B:$B,B$19)</f>
        <v/>
      </c>
      <c r="C36" s="31">
        <f>SUMIFS('Данные'!$F:$F,'Данные'!$A:$A,"&gt;="&amp;(($E$3-WEEKDAY($E$3,2)+1-7*(WEEKDAY($E$3,2)&lt;7))-7*9),'Данные'!$A:$A,"&lt;"&amp;((($E$3-WEEKDAY($E$3,2)+1-7*(WEEKDAY($E$3,2)&lt;7))-7*9)+6)+1,'Данные'!$B:$B,C$19)</f>
        <v/>
      </c>
      <c r="D36" s="31">
        <f>SUMIFS('Данные'!$F:$F,'Данные'!$A:$A,"&gt;="&amp;(($E$3-WEEKDAY($E$3,2)+1-7*(WEEKDAY($E$3,2)&lt;7))-7*9),'Данные'!$A:$A,"&lt;"&amp;((($E$3-WEEKDAY($E$3,2)+1-7*(WEEKDAY($E$3,2)&lt;7))-7*9)+6)+1,'Данные'!$B:$B,D$19)</f>
        <v/>
      </c>
      <c r="E36" s="51">
        <f>SUM(B36:D36)</f>
        <v/>
      </c>
      <c r="F36" s="52">
        <f>IFERROR(E36/E35-1,"")</f>
        <v/>
      </c>
    </row>
    <row r="37">
      <c r="A37" s="36">
        <f>TEXT((($E$3-WEEKDAY($E$3,2)+1-7*(WEEKDAY($E$3,2)&lt;7))-7*8),"DD.MM")&amp;"–"&amp;TEXT((($E$3-WEEKDAY($E$3,2)+1-7*(WEEKDAY($E$3,2)&lt;7))-7*8)+6,"DD.MM.YYYY")</f>
        <v/>
      </c>
      <c r="B37" s="38">
        <f>SUMIFS('Данные'!$F:$F,'Данные'!$A:$A,"&gt;="&amp;(($E$3-WEEKDAY($E$3,2)+1-7*(WEEKDAY($E$3,2)&lt;7))-7*8),'Данные'!$A:$A,"&lt;"&amp;((($E$3-WEEKDAY($E$3,2)+1-7*(WEEKDAY($E$3,2)&lt;7))-7*8)+6)+1,'Данные'!$B:$B,B$19)</f>
        <v/>
      </c>
      <c r="C37" s="38">
        <f>SUMIFS('Данные'!$F:$F,'Данные'!$A:$A,"&gt;="&amp;(($E$3-WEEKDAY($E$3,2)+1-7*(WEEKDAY($E$3,2)&lt;7))-7*8),'Данные'!$A:$A,"&lt;"&amp;((($E$3-WEEKDAY($E$3,2)+1-7*(WEEKDAY($E$3,2)&lt;7))-7*8)+6)+1,'Данные'!$B:$B,C$19)</f>
        <v/>
      </c>
      <c r="D37" s="38">
        <f>SUMIFS('Данные'!$F:$F,'Данные'!$A:$A,"&gt;="&amp;(($E$3-WEEKDAY($E$3,2)+1-7*(WEEKDAY($E$3,2)&lt;7))-7*8),'Данные'!$A:$A,"&lt;"&amp;((($E$3-WEEKDAY($E$3,2)+1-7*(WEEKDAY($E$3,2)&lt;7))-7*8)+6)+1,'Данные'!$B:$B,D$19)</f>
        <v/>
      </c>
      <c r="E37" s="53">
        <f>SUM(B37:D37)</f>
        <v/>
      </c>
      <c r="F37" s="54">
        <f>IFERROR(E37/E36-1,"")</f>
        <v/>
      </c>
    </row>
    <row r="38">
      <c r="A38" s="29">
        <f>TEXT((($E$3-WEEKDAY($E$3,2)+1-7*(WEEKDAY($E$3,2)&lt;7))-7*7),"DD.MM")&amp;"–"&amp;TEXT((($E$3-WEEKDAY($E$3,2)+1-7*(WEEKDAY($E$3,2)&lt;7))-7*7)+6,"DD.MM.YYYY")</f>
        <v/>
      </c>
      <c r="B38" s="31">
        <f>SUMIFS('Данные'!$F:$F,'Данные'!$A:$A,"&gt;="&amp;(($E$3-WEEKDAY($E$3,2)+1-7*(WEEKDAY($E$3,2)&lt;7))-7*7),'Данные'!$A:$A,"&lt;"&amp;((($E$3-WEEKDAY($E$3,2)+1-7*(WEEKDAY($E$3,2)&lt;7))-7*7)+6)+1,'Данные'!$B:$B,B$19)</f>
        <v/>
      </c>
      <c r="C38" s="31">
        <f>SUMIFS('Данные'!$F:$F,'Данные'!$A:$A,"&gt;="&amp;(($E$3-WEEKDAY($E$3,2)+1-7*(WEEKDAY($E$3,2)&lt;7))-7*7),'Данные'!$A:$A,"&lt;"&amp;((($E$3-WEEKDAY($E$3,2)+1-7*(WEEKDAY($E$3,2)&lt;7))-7*7)+6)+1,'Данные'!$B:$B,C$19)</f>
        <v/>
      </c>
      <c r="D38" s="31">
        <f>SUMIFS('Данные'!$F:$F,'Данные'!$A:$A,"&gt;="&amp;(($E$3-WEEKDAY($E$3,2)+1-7*(WEEKDAY($E$3,2)&lt;7))-7*7),'Данные'!$A:$A,"&lt;"&amp;((($E$3-WEEKDAY($E$3,2)+1-7*(WEEKDAY($E$3,2)&lt;7))-7*7)+6)+1,'Данные'!$B:$B,D$19)</f>
        <v/>
      </c>
      <c r="E38" s="51">
        <f>SUM(B38:D38)</f>
        <v/>
      </c>
      <c r="F38" s="52">
        <f>IFERROR(E38/E37-1,"")</f>
        <v/>
      </c>
    </row>
    <row r="39">
      <c r="A39" s="36">
        <f>TEXT((($E$3-WEEKDAY($E$3,2)+1-7*(WEEKDAY($E$3,2)&lt;7))-7*6),"DD.MM")&amp;"–"&amp;TEXT((($E$3-WEEKDAY($E$3,2)+1-7*(WEEKDAY($E$3,2)&lt;7))-7*6)+6,"DD.MM.YYYY")</f>
        <v/>
      </c>
      <c r="B39" s="38">
        <f>SUMIFS('Данные'!$F:$F,'Данные'!$A:$A,"&gt;="&amp;(($E$3-WEEKDAY($E$3,2)+1-7*(WEEKDAY($E$3,2)&lt;7))-7*6),'Данные'!$A:$A,"&lt;"&amp;((($E$3-WEEKDAY($E$3,2)+1-7*(WEEKDAY($E$3,2)&lt;7))-7*6)+6)+1,'Данные'!$B:$B,B$19)</f>
        <v/>
      </c>
      <c r="C39" s="38">
        <f>SUMIFS('Данные'!$F:$F,'Данные'!$A:$A,"&gt;="&amp;(($E$3-WEEKDAY($E$3,2)+1-7*(WEEKDAY($E$3,2)&lt;7))-7*6),'Данные'!$A:$A,"&lt;"&amp;((($E$3-WEEKDAY($E$3,2)+1-7*(WEEKDAY($E$3,2)&lt;7))-7*6)+6)+1,'Данные'!$B:$B,C$19)</f>
        <v/>
      </c>
      <c r="D39" s="38">
        <f>SUMIFS('Данные'!$F:$F,'Данные'!$A:$A,"&gt;="&amp;(($E$3-WEEKDAY($E$3,2)+1-7*(WEEKDAY($E$3,2)&lt;7))-7*6),'Данные'!$A:$A,"&lt;"&amp;((($E$3-WEEKDAY($E$3,2)+1-7*(WEEKDAY($E$3,2)&lt;7))-7*6)+6)+1,'Данные'!$B:$B,D$19)</f>
        <v/>
      </c>
      <c r="E39" s="53">
        <f>SUM(B39:D39)</f>
        <v/>
      </c>
      <c r="F39" s="54">
        <f>IFERROR(E39/E38-1,"")</f>
        <v/>
      </c>
    </row>
    <row r="40">
      <c r="A40" s="29">
        <f>TEXT((($E$3-WEEKDAY($E$3,2)+1-7*(WEEKDAY($E$3,2)&lt;7))-7*5),"DD.MM")&amp;"–"&amp;TEXT((($E$3-WEEKDAY($E$3,2)+1-7*(WEEKDAY($E$3,2)&lt;7))-7*5)+6,"DD.MM.YYYY")</f>
        <v/>
      </c>
      <c r="B40" s="31">
        <f>SUMIFS('Данные'!$F:$F,'Данные'!$A:$A,"&gt;="&amp;(($E$3-WEEKDAY($E$3,2)+1-7*(WEEKDAY($E$3,2)&lt;7))-7*5),'Данные'!$A:$A,"&lt;"&amp;((($E$3-WEEKDAY($E$3,2)+1-7*(WEEKDAY($E$3,2)&lt;7))-7*5)+6)+1,'Данные'!$B:$B,B$19)</f>
        <v/>
      </c>
      <c r="C40" s="31">
        <f>SUMIFS('Данные'!$F:$F,'Данные'!$A:$A,"&gt;="&amp;(($E$3-WEEKDAY($E$3,2)+1-7*(WEEKDAY($E$3,2)&lt;7))-7*5),'Данные'!$A:$A,"&lt;"&amp;((($E$3-WEEKDAY($E$3,2)+1-7*(WEEKDAY($E$3,2)&lt;7))-7*5)+6)+1,'Данные'!$B:$B,C$19)</f>
        <v/>
      </c>
      <c r="D40" s="31">
        <f>SUMIFS('Данные'!$F:$F,'Данные'!$A:$A,"&gt;="&amp;(($E$3-WEEKDAY($E$3,2)+1-7*(WEEKDAY($E$3,2)&lt;7))-7*5),'Данные'!$A:$A,"&lt;"&amp;((($E$3-WEEKDAY($E$3,2)+1-7*(WEEKDAY($E$3,2)&lt;7))-7*5)+6)+1,'Данные'!$B:$B,D$19)</f>
        <v/>
      </c>
      <c r="E40" s="51">
        <f>SUM(B40:D40)</f>
        <v/>
      </c>
      <c r="F40" s="52">
        <f>IFERROR(E40/E39-1,"")</f>
        <v/>
      </c>
    </row>
    <row r="41">
      <c r="A41" s="36">
        <f>TEXT((($E$3-WEEKDAY($E$3,2)+1-7*(WEEKDAY($E$3,2)&lt;7))-7*4),"DD.MM")&amp;"–"&amp;TEXT((($E$3-WEEKDAY($E$3,2)+1-7*(WEEKDAY($E$3,2)&lt;7))-7*4)+6,"DD.MM.YYYY")</f>
        <v/>
      </c>
      <c r="B41" s="38">
        <f>SUMIFS('Данные'!$F:$F,'Данные'!$A:$A,"&gt;="&amp;(($E$3-WEEKDAY($E$3,2)+1-7*(WEEKDAY($E$3,2)&lt;7))-7*4),'Данные'!$A:$A,"&lt;"&amp;((($E$3-WEEKDAY($E$3,2)+1-7*(WEEKDAY($E$3,2)&lt;7))-7*4)+6)+1,'Данные'!$B:$B,B$19)</f>
        <v/>
      </c>
      <c r="C41" s="38">
        <f>SUMIFS('Данные'!$F:$F,'Данные'!$A:$A,"&gt;="&amp;(($E$3-WEEKDAY($E$3,2)+1-7*(WEEKDAY($E$3,2)&lt;7))-7*4),'Данные'!$A:$A,"&lt;"&amp;((($E$3-WEEKDAY($E$3,2)+1-7*(WEEKDAY($E$3,2)&lt;7))-7*4)+6)+1,'Данные'!$B:$B,C$19)</f>
        <v/>
      </c>
      <c r="D41" s="38">
        <f>SUMIFS('Данные'!$F:$F,'Данные'!$A:$A,"&gt;="&amp;(($E$3-WEEKDAY($E$3,2)+1-7*(WEEKDAY($E$3,2)&lt;7))-7*4),'Данные'!$A:$A,"&lt;"&amp;((($E$3-WEEKDAY($E$3,2)+1-7*(WEEKDAY($E$3,2)&lt;7))-7*4)+6)+1,'Данные'!$B:$B,D$19)</f>
        <v/>
      </c>
      <c r="E41" s="53">
        <f>SUM(B41:D41)</f>
        <v/>
      </c>
      <c r="F41" s="54">
        <f>IFERROR(E41/E40-1,"")</f>
        <v/>
      </c>
    </row>
    <row r="42">
      <c r="A42" s="29">
        <f>TEXT((($E$3-WEEKDAY($E$3,2)+1-7*(WEEKDAY($E$3,2)&lt;7))-7*3),"DD.MM")&amp;"–"&amp;TEXT((($E$3-WEEKDAY($E$3,2)+1-7*(WEEKDAY($E$3,2)&lt;7))-7*3)+6,"DD.MM.YYYY")</f>
        <v/>
      </c>
      <c r="B42" s="31">
        <f>SUMIFS('Данные'!$F:$F,'Данные'!$A:$A,"&gt;="&amp;(($E$3-WEEKDAY($E$3,2)+1-7*(WEEKDAY($E$3,2)&lt;7))-7*3),'Данные'!$A:$A,"&lt;"&amp;((($E$3-WEEKDAY($E$3,2)+1-7*(WEEKDAY($E$3,2)&lt;7))-7*3)+6)+1,'Данные'!$B:$B,B$19)</f>
        <v/>
      </c>
      <c r="C42" s="31">
        <f>SUMIFS('Данные'!$F:$F,'Данные'!$A:$A,"&gt;="&amp;(($E$3-WEEKDAY($E$3,2)+1-7*(WEEKDAY($E$3,2)&lt;7))-7*3),'Данные'!$A:$A,"&lt;"&amp;((($E$3-WEEKDAY($E$3,2)+1-7*(WEEKDAY($E$3,2)&lt;7))-7*3)+6)+1,'Данные'!$B:$B,C$19)</f>
        <v/>
      </c>
      <c r="D42" s="31">
        <f>SUMIFS('Данные'!$F:$F,'Данные'!$A:$A,"&gt;="&amp;(($E$3-WEEKDAY($E$3,2)+1-7*(WEEKDAY($E$3,2)&lt;7))-7*3),'Данные'!$A:$A,"&lt;"&amp;((($E$3-WEEKDAY($E$3,2)+1-7*(WEEKDAY($E$3,2)&lt;7))-7*3)+6)+1,'Данные'!$B:$B,D$19)</f>
        <v/>
      </c>
      <c r="E42" s="51">
        <f>SUM(B42:D42)</f>
        <v/>
      </c>
      <c r="F42" s="52">
        <f>IFERROR(E42/E41-1,"")</f>
        <v/>
      </c>
    </row>
    <row r="43">
      <c r="A43" s="36">
        <f>TEXT((($E$3-WEEKDAY($E$3,2)+1-7*(WEEKDAY($E$3,2)&lt;7))-7*2),"DD.MM")&amp;"–"&amp;TEXT((($E$3-WEEKDAY($E$3,2)+1-7*(WEEKDAY($E$3,2)&lt;7))-7*2)+6,"DD.MM.YYYY")</f>
        <v/>
      </c>
      <c r="B43" s="38">
        <f>SUMIFS('Данные'!$F:$F,'Данные'!$A:$A,"&gt;="&amp;(($E$3-WEEKDAY($E$3,2)+1-7*(WEEKDAY($E$3,2)&lt;7))-7*2),'Данные'!$A:$A,"&lt;"&amp;((($E$3-WEEKDAY($E$3,2)+1-7*(WEEKDAY($E$3,2)&lt;7))-7*2)+6)+1,'Данные'!$B:$B,B$19)</f>
        <v/>
      </c>
      <c r="C43" s="38">
        <f>SUMIFS('Данные'!$F:$F,'Данные'!$A:$A,"&gt;="&amp;(($E$3-WEEKDAY($E$3,2)+1-7*(WEEKDAY($E$3,2)&lt;7))-7*2),'Данные'!$A:$A,"&lt;"&amp;((($E$3-WEEKDAY($E$3,2)+1-7*(WEEKDAY($E$3,2)&lt;7))-7*2)+6)+1,'Данные'!$B:$B,C$19)</f>
        <v/>
      </c>
      <c r="D43" s="38">
        <f>SUMIFS('Данные'!$F:$F,'Данные'!$A:$A,"&gt;="&amp;(($E$3-WEEKDAY($E$3,2)+1-7*(WEEKDAY($E$3,2)&lt;7))-7*2),'Данные'!$A:$A,"&lt;"&amp;((($E$3-WEEKDAY($E$3,2)+1-7*(WEEKDAY($E$3,2)&lt;7))-7*2)+6)+1,'Данные'!$B:$B,D$19)</f>
        <v/>
      </c>
      <c r="E43" s="53">
        <f>SUM(B43:D43)</f>
        <v/>
      </c>
      <c r="F43" s="54">
        <f>IFERROR(E43/E42-1,"")</f>
        <v/>
      </c>
    </row>
    <row r="44">
      <c r="A44" s="29">
        <f>TEXT((($E$3-WEEKDAY($E$3,2)+1-7*(WEEKDAY($E$3,2)&lt;7))-7*1),"DD.MM")&amp;"–"&amp;TEXT((($E$3-WEEKDAY($E$3,2)+1-7*(WEEKDAY($E$3,2)&lt;7))-7*1)+6,"DD.MM.YYYY")</f>
        <v/>
      </c>
      <c r="B44" s="31">
        <f>SUMIFS('Данные'!$F:$F,'Данные'!$A:$A,"&gt;="&amp;(($E$3-WEEKDAY($E$3,2)+1-7*(WEEKDAY($E$3,2)&lt;7))-7*1),'Данные'!$A:$A,"&lt;"&amp;((($E$3-WEEKDAY($E$3,2)+1-7*(WEEKDAY($E$3,2)&lt;7))-7*1)+6)+1,'Данные'!$B:$B,B$19)</f>
        <v/>
      </c>
      <c r="C44" s="31">
        <f>SUMIFS('Данные'!$F:$F,'Данные'!$A:$A,"&gt;="&amp;(($E$3-WEEKDAY($E$3,2)+1-7*(WEEKDAY($E$3,2)&lt;7))-7*1),'Данные'!$A:$A,"&lt;"&amp;((($E$3-WEEKDAY($E$3,2)+1-7*(WEEKDAY($E$3,2)&lt;7))-7*1)+6)+1,'Данные'!$B:$B,C$19)</f>
        <v/>
      </c>
      <c r="D44" s="31">
        <f>SUMIFS('Данные'!$F:$F,'Данные'!$A:$A,"&gt;="&amp;(($E$3-WEEKDAY($E$3,2)+1-7*(WEEKDAY($E$3,2)&lt;7))-7*1),'Данные'!$A:$A,"&lt;"&amp;((($E$3-WEEKDAY($E$3,2)+1-7*(WEEKDAY($E$3,2)&lt;7))-7*1)+6)+1,'Данные'!$B:$B,D$19)</f>
        <v/>
      </c>
      <c r="E44" s="51">
        <f>SUM(B44:D44)</f>
        <v/>
      </c>
      <c r="F44" s="52">
        <f>IFERROR(E44/E43-1,"")</f>
        <v/>
      </c>
    </row>
    <row r="45">
      <c r="A45" s="36">
        <f>TEXT((($E$3-WEEKDAY($E$3,2)+1-7*(WEEKDAY($E$3,2)&lt;7))-7*0),"DD.MM")&amp;"–"&amp;TEXT((($E$3-WEEKDAY($E$3,2)+1-7*(WEEKDAY($E$3,2)&lt;7))-7*0)+6,"DD.MM.YYYY")</f>
        <v/>
      </c>
      <c r="B45" s="38">
        <f>SUMIFS('Данные'!$F:$F,'Данные'!$A:$A,"&gt;="&amp;(($E$3-WEEKDAY($E$3,2)+1-7*(WEEKDAY($E$3,2)&lt;7))-7*0),'Данные'!$A:$A,"&lt;"&amp;((($E$3-WEEKDAY($E$3,2)+1-7*(WEEKDAY($E$3,2)&lt;7))-7*0)+6)+1,'Данные'!$B:$B,B$19)</f>
        <v/>
      </c>
      <c r="C45" s="38">
        <f>SUMIFS('Данные'!$F:$F,'Данные'!$A:$A,"&gt;="&amp;(($E$3-WEEKDAY($E$3,2)+1-7*(WEEKDAY($E$3,2)&lt;7))-7*0),'Данные'!$A:$A,"&lt;"&amp;((($E$3-WEEKDAY($E$3,2)+1-7*(WEEKDAY($E$3,2)&lt;7))-7*0)+6)+1,'Данные'!$B:$B,C$19)</f>
        <v/>
      </c>
      <c r="D45" s="38">
        <f>SUMIFS('Данные'!$F:$F,'Данные'!$A:$A,"&gt;="&amp;(($E$3-WEEKDAY($E$3,2)+1-7*(WEEKDAY($E$3,2)&lt;7))-7*0),'Данные'!$A:$A,"&lt;"&amp;((($E$3-WEEKDAY($E$3,2)+1-7*(WEEKDAY($E$3,2)&lt;7))-7*0)+6)+1,'Данные'!$B:$B,D$19)</f>
        <v/>
      </c>
      <c r="E45" s="53">
        <f>SUM(B45:D45)</f>
        <v/>
      </c>
      <c r="F45" s="54">
        <f>IFERROR(E45/E44-1,"")</f>
        <v/>
      </c>
    </row>
    <row r="47">
      <c r="A47" s="9" t="inlineStr">
        <is>
          <t>Цена подписки по направлениям, по неделям</t>
        </is>
      </c>
    </row>
    <row r="48">
      <c r="A48" s="11" t="inlineStr">
        <is>
          <t>Неделя</t>
        </is>
      </c>
      <c r="B48" s="11">
        <f>'⚙ Настройки'!$A$2</f>
        <v/>
      </c>
      <c r="C48" s="11">
        <f>'⚙ Настройки'!$A$3</f>
        <v/>
      </c>
      <c r="D48" s="11">
        <f>'⚙ Настройки'!$A$4</f>
        <v/>
      </c>
      <c r="E48" s="11" t="inlineStr">
        <is>
          <t>Итого</t>
        </is>
      </c>
    </row>
    <row r="49">
      <c r="A49" s="29">
        <f>TEXT((($E$3-WEEKDAY($E$3,2)+1-7*(WEEKDAY($E$3,2)&lt;7))-7*25),"DD.MM")&amp;"–"&amp;TEXT((($E$3-WEEKDAY($E$3,2)+1-7*(WEEKDAY($E$3,2)&lt;7))-7*25)+6,"DD.MM.YYYY")</f>
        <v/>
      </c>
      <c r="B49" s="33">
        <f>IFERROR(B78/B20,"")</f>
        <v/>
      </c>
      <c r="C49" s="33">
        <f>IFERROR(C78/C20,"")</f>
        <v/>
      </c>
      <c r="D49" s="33">
        <f>IFERROR(D78/D20,"")</f>
        <v/>
      </c>
      <c r="E49" s="55">
        <f>IFERROR(E78/E20,"")</f>
        <v/>
      </c>
    </row>
    <row r="50">
      <c r="A50" s="36">
        <f>TEXT((($E$3-WEEKDAY($E$3,2)+1-7*(WEEKDAY($E$3,2)&lt;7))-7*24),"DD.MM")&amp;"–"&amp;TEXT((($E$3-WEEKDAY($E$3,2)+1-7*(WEEKDAY($E$3,2)&lt;7))-7*24)+6,"DD.MM.YYYY")</f>
        <v/>
      </c>
      <c r="B50" s="40">
        <f>IFERROR(B79/B21,"")</f>
        <v/>
      </c>
      <c r="C50" s="40">
        <f>IFERROR(C79/C21,"")</f>
        <v/>
      </c>
      <c r="D50" s="40">
        <f>IFERROR(D79/D21,"")</f>
        <v/>
      </c>
      <c r="E50" s="56">
        <f>IFERROR(E79/E21,"")</f>
        <v/>
      </c>
    </row>
    <row r="51">
      <c r="A51" s="29">
        <f>TEXT((($E$3-WEEKDAY($E$3,2)+1-7*(WEEKDAY($E$3,2)&lt;7))-7*23),"DD.MM")&amp;"–"&amp;TEXT((($E$3-WEEKDAY($E$3,2)+1-7*(WEEKDAY($E$3,2)&lt;7))-7*23)+6,"DD.MM.YYYY")</f>
        <v/>
      </c>
      <c r="B51" s="33">
        <f>IFERROR(B80/B22,"")</f>
        <v/>
      </c>
      <c r="C51" s="33">
        <f>IFERROR(C80/C22,"")</f>
        <v/>
      </c>
      <c r="D51" s="33">
        <f>IFERROR(D80/D22,"")</f>
        <v/>
      </c>
      <c r="E51" s="55">
        <f>IFERROR(E80/E22,"")</f>
        <v/>
      </c>
    </row>
    <row r="52">
      <c r="A52" s="36">
        <f>TEXT((($E$3-WEEKDAY($E$3,2)+1-7*(WEEKDAY($E$3,2)&lt;7))-7*22),"DD.MM")&amp;"–"&amp;TEXT((($E$3-WEEKDAY($E$3,2)+1-7*(WEEKDAY($E$3,2)&lt;7))-7*22)+6,"DD.MM.YYYY")</f>
        <v/>
      </c>
      <c r="B52" s="40">
        <f>IFERROR(B81/B23,"")</f>
        <v/>
      </c>
      <c r="C52" s="40">
        <f>IFERROR(C81/C23,"")</f>
        <v/>
      </c>
      <c r="D52" s="40">
        <f>IFERROR(D81/D23,"")</f>
        <v/>
      </c>
      <c r="E52" s="56">
        <f>IFERROR(E81/E23,"")</f>
        <v/>
      </c>
    </row>
    <row r="53">
      <c r="A53" s="29">
        <f>TEXT((($E$3-WEEKDAY($E$3,2)+1-7*(WEEKDAY($E$3,2)&lt;7))-7*21),"DD.MM")&amp;"–"&amp;TEXT((($E$3-WEEKDAY($E$3,2)+1-7*(WEEKDAY($E$3,2)&lt;7))-7*21)+6,"DD.MM.YYYY")</f>
        <v/>
      </c>
      <c r="B53" s="33">
        <f>IFERROR(B82/B24,"")</f>
        <v/>
      </c>
      <c r="C53" s="33">
        <f>IFERROR(C82/C24,"")</f>
        <v/>
      </c>
      <c r="D53" s="33">
        <f>IFERROR(D82/D24,"")</f>
        <v/>
      </c>
      <c r="E53" s="55">
        <f>IFERROR(E82/E24,"")</f>
        <v/>
      </c>
    </row>
    <row r="54">
      <c r="A54" s="36">
        <f>TEXT((($E$3-WEEKDAY($E$3,2)+1-7*(WEEKDAY($E$3,2)&lt;7))-7*20),"DD.MM")&amp;"–"&amp;TEXT((($E$3-WEEKDAY($E$3,2)+1-7*(WEEKDAY($E$3,2)&lt;7))-7*20)+6,"DD.MM.YYYY")</f>
        <v/>
      </c>
      <c r="B54" s="40">
        <f>IFERROR(B83/B25,"")</f>
        <v/>
      </c>
      <c r="C54" s="40">
        <f>IFERROR(C83/C25,"")</f>
        <v/>
      </c>
      <c r="D54" s="40">
        <f>IFERROR(D83/D25,"")</f>
        <v/>
      </c>
      <c r="E54" s="56">
        <f>IFERROR(E83/E25,"")</f>
        <v/>
      </c>
    </row>
    <row r="55">
      <c r="A55" s="29">
        <f>TEXT((($E$3-WEEKDAY($E$3,2)+1-7*(WEEKDAY($E$3,2)&lt;7))-7*19),"DD.MM")&amp;"–"&amp;TEXT((($E$3-WEEKDAY($E$3,2)+1-7*(WEEKDAY($E$3,2)&lt;7))-7*19)+6,"DD.MM.YYYY")</f>
        <v/>
      </c>
      <c r="B55" s="33">
        <f>IFERROR(B84/B26,"")</f>
        <v/>
      </c>
      <c r="C55" s="33">
        <f>IFERROR(C84/C26,"")</f>
        <v/>
      </c>
      <c r="D55" s="33">
        <f>IFERROR(D84/D26,"")</f>
        <v/>
      </c>
      <c r="E55" s="55">
        <f>IFERROR(E84/E26,"")</f>
        <v/>
      </c>
    </row>
    <row r="56">
      <c r="A56" s="36">
        <f>TEXT((($E$3-WEEKDAY($E$3,2)+1-7*(WEEKDAY($E$3,2)&lt;7))-7*18),"DD.MM")&amp;"–"&amp;TEXT((($E$3-WEEKDAY($E$3,2)+1-7*(WEEKDAY($E$3,2)&lt;7))-7*18)+6,"DD.MM.YYYY")</f>
        <v/>
      </c>
      <c r="B56" s="40">
        <f>IFERROR(B85/B27,"")</f>
        <v/>
      </c>
      <c r="C56" s="40">
        <f>IFERROR(C85/C27,"")</f>
        <v/>
      </c>
      <c r="D56" s="40">
        <f>IFERROR(D85/D27,"")</f>
        <v/>
      </c>
      <c r="E56" s="56">
        <f>IFERROR(E85/E27,"")</f>
        <v/>
      </c>
    </row>
    <row r="57">
      <c r="A57" s="29">
        <f>TEXT((($E$3-WEEKDAY($E$3,2)+1-7*(WEEKDAY($E$3,2)&lt;7))-7*17),"DD.MM")&amp;"–"&amp;TEXT((($E$3-WEEKDAY($E$3,2)+1-7*(WEEKDAY($E$3,2)&lt;7))-7*17)+6,"DD.MM.YYYY")</f>
        <v/>
      </c>
      <c r="B57" s="33">
        <f>IFERROR(B86/B28,"")</f>
        <v/>
      </c>
      <c r="C57" s="33">
        <f>IFERROR(C86/C28,"")</f>
        <v/>
      </c>
      <c r="D57" s="33">
        <f>IFERROR(D86/D28,"")</f>
        <v/>
      </c>
      <c r="E57" s="55">
        <f>IFERROR(E86/E28,"")</f>
        <v/>
      </c>
    </row>
    <row r="58">
      <c r="A58" s="36">
        <f>TEXT((($E$3-WEEKDAY($E$3,2)+1-7*(WEEKDAY($E$3,2)&lt;7))-7*16),"DD.MM")&amp;"–"&amp;TEXT((($E$3-WEEKDAY($E$3,2)+1-7*(WEEKDAY($E$3,2)&lt;7))-7*16)+6,"DD.MM.YYYY")</f>
        <v/>
      </c>
      <c r="B58" s="40">
        <f>IFERROR(B87/B29,"")</f>
        <v/>
      </c>
      <c r="C58" s="40">
        <f>IFERROR(C87/C29,"")</f>
        <v/>
      </c>
      <c r="D58" s="40">
        <f>IFERROR(D87/D29,"")</f>
        <v/>
      </c>
      <c r="E58" s="56">
        <f>IFERROR(E87/E29,"")</f>
        <v/>
      </c>
    </row>
    <row r="59">
      <c r="A59" s="29">
        <f>TEXT((($E$3-WEEKDAY($E$3,2)+1-7*(WEEKDAY($E$3,2)&lt;7))-7*15),"DD.MM")&amp;"–"&amp;TEXT((($E$3-WEEKDAY($E$3,2)+1-7*(WEEKDAY($E$3,2)&lt;7))-7*15)+6,"DD.MM.YYYY")</f>
        <v/>
      </c>
      <c r="B59" s="33">
        <f>IFERROR(B88/B30,"")</f>
        <v/>
      </c>
      <c r="C59" s="33">
        <f>IFERROR(C88/C30,"")</f>
        <v/>
      </c>
      <c r="D59" s="33">
        <f>IFERROR(D88/D30,"")</f>
        <v/>
      </c>
      <c r="E59" s="55">
        <f>IFERROR(E88/E30,"")</f>
        <v/>
      </c>
    </row>
    <row r="60">
      <c r="A60" s="36">
        <f>TEXT((($E$3-WEEKDAY($E$3,2)+1-7*(WEEKDAY($E$3,2)&lt;7))-7*14),"DD.MM")&amp;"–"&amp;TEXT((($E$3-WEEKDAY($E$3,2)+1-7*(WEEKDAY($E$3,2)&lt;7))-7*14)+6,"DD.MM.YYYY")</f>
        <v/>
      </c>
      <c r="B60" s="40">
        <f>IFERROR(B89/B31,"")</f>
        <v/>
      </c>
      <c r="C60" s="40">
        <f>IFERROR(C89/C31,"")</f>
        <v/>
      </c>
      <c r="D60" s="40">
        <f>IFERROR(D89/D31,"")</f>
        <v/>
      </c>
      <c r="E60" s="56">
        <f>IFERROR(E89/E31,"")</f>
        <v/>
      </c>
    </row>
    <row r="61">
      <c r="A61" s="29">
        <f>TEXT((($E$3-WEEKDAY($E$3,2)+1-7*(WEEKDAY($E$3,2)&lt;7))-7*13),"DD.MM")&amp;"–"&amp;TEXT((($E$3-WEEKDAY($E$3,2)+1-7*(WEEKDAY($E$3,2)&lt;7))-7*13)+6,"DD.MM.YYYY")</f>
        <v/>
      </c>
      <c r="B61" s="33">
        <f>IFERROR(B90/B32,"")</f>
        <v/>
      </c>
      <c r="C61" s="33">
        <f>IFERROR(C90/C32,"")</f>
        <v/>
      </c>
      <c r="D61" s="33">
        <f>IFERROR(D90/D32,"")</f>
        <v/>
      </c>
      <c r="E61" s="55">
        <f>IFERROR(E90/E32,"")</f>
        <v/>
      </c>
    </row>
    <row r="62">
      <c r="A62" s="36">
        <f>TEXT((($E$3-WEEKDAY($E$3,2)+1-7*(WEEKDAY($E$3,2)&lt;7))-7*12),"DD.MM")&amp;"–"&amp;TEXT((($E$3-WEEKDAY($E$3,2)+1-7*(WEEKDAY($E$3,2)&lt;7))-7*12)+6,"DD.MM.YYYY")</f>
        <v/>
      </c>
      <c r="B62" s="40">
        <f>IFERROR(B91/B33,"")</f>
        <v/>
      </c>
      <c r="C62" s="40">
        <f>IFERROR(C91/C33,"")</f>
        <v/>
      </c>
      <c r="D62" s="40">
        <f>IFERROR(D91/D33,"")</f>
        <v/>
      </c>
      <c r="E62" s="56">
        <f>IFERROR(E91/E33,"")</f>
        <v/>
      </c>
    </row>
    <row r="63">
      <c r="A63" s="29">
        <f>TEXT((($E$3-WEEKDAY($E$3,2)+1-7*(WEEKDAY($E$3,2)&lt;7))-7*11),"DD.MM")&amp;"–"&amp;TEXT((($E$3-WEEKDAY($E$3,2)+1-7*(WEEKDAY($E$3,2)&lt;7))-7*11)+6,"DD.MM.YYYY")</f>
        <v/>
      </c>
      <c r="B63" s="33">
        <f>IFERROR(B92/B34,"")</f>
        <v/>
      </c>
      <c r="C63" s="33">
        <f>IFERROR(C92/C34,"")</f>
        <v/>
      </c>
      <c r="D63" s="33">
        <f>IFERROR(D92/D34,"")</f>
        <v/>
      </c>
      <c r="E63" s="55">
        <f>IFERROR(E92/E34,"")</f>
        <v/>
      </c>
    </row>
    <row r="64">
      <c r="A64" s="36">
        <f>TEXT((($E$3-WEEKDAY($E$3,2)+1-7*(WEEKDAY($E$3,2)&lt;7))-7*10),"DD.MM")&amp;"–"&amp;TEXT((($E$3-WEEKDAY($E$3,2)+1-7*(WEEKDAY($E$3,2)&lt;7))-7*10)+6,"DD.MM.YYYY")</f>
        <v/>
      </c>
      <c r="B64" s="40">
        <f>IFERROR(B93/B35,"")</f>
        <v/>
      </c>
      <c r="C64" s="40">
        <f>IFERROR(C93/C35,"")</f>
        <v/>
      </c>
      <c r="D64" s="40">
        <f>IFERROR(D93/D35,"")</f>
        <v/>
      </c>
      <c r="E64" s="56">
        <f>IFERROR(E93/E35,"")</f>
        <v/>
      </c>
    </row>
    <row r="65">
      <c r="A65" s="29">
        <f>TEXT((($E$3-WEEKDAY($E$3,2)+1-7*(WEEKDAY($E$3,2)&lt;7))-7*9),"DD.MM")&amp;"–"&amp;TEXT((($E$3-WEEKDAY($E$3,2)+1-7*(WEEKDAY($E$3,2)&lt;7))-7*9)+6,"DD.MM.YYYY")</f>
        <v/>
      </c>
      <c r="B65" s="33">
        <f>IFERROR(B94/B36,"")</f>
        <v/>
      </c>
      <c r="C65" s="33">
        <f>IFERROR(C94/C36,"")</f>
        <v/>
      </c>
      <c r="D65" s="33">
        <f>IFERROR(D94/D36,"")</f>
        <v/>
      </c>
      <c r="E65" s="55">
        <f>IFERROR(E94/E36,"")</f>
        <v/>
      </c>
    </row>
    <row r="66">
      <c r="A66" s="36">
        <f>TEXT((($E$3-WEEKDAY($E$3,2)+1-7*(WEEKDAY($E$3,2)&lt;7))-7*8),"DD.MM")&amp;"–"&amp;TEXT((($E$3-WEEKDAY($E$3,2)+1-7*(WEEKDAY($E$3,2)&lt;7))-7*8)+6,"DD.MM.YYYY")</f>
        <v/>
      </c>
      <c r="B66" s="40">
        <f>IFERROR(B95/B37,"")</f>
        <v/>
      </c>
      <c r="C66" s="40">
        <f>IFERROR(C95/C37,"")</f>
        <v/>
      </c>
      <c r="D66" s="40">
        <f>IFERROR(D95/D37,"")</f>
        <v/>
      </c>
      <c r="E66" s="56">
        <f>IFERROR(E95/E37,"")</f>
        <v/>
      </c>
    </row>
    <row r="67">
      <c r="A67" s="29">
        <f>TEXT((($E$3-WEEKDAY($E$3,2)+1-7*(WEEKDAY($E$3,2)&lt;7))-7*7),"DD.MM")&amp;"–"&amp;TEXT((($E$3-WEEKDAY($E$3,2)+1-7*(WEEKDAY($E$3,2)&lt;7))-7*7)+6,"DD.MM.YYYY")</f>
        <v/>
      </c>
      <c r="B67" s="33">
        <f>IFERROR(B96/B38,"")</f>
        <v/>
      </c>
      <c r="C67" s="33">
        <f>IFERROR(C96/C38,"")</f>
        <v/>
      </c>
      <c r="D67" s="33">
        <f>IFERROR(D96/D38,"")</f>
        <v/>
      </c>
      <c r="E67" s="55">
        <f>IFERROR(E96/E38,"")</f>
        <v/>
      </c>
    </row>
    <row r="68">
      <c r="A68" s="36">
        <f>TEXT((($E$3-WEEKDAY($E$3,2)+1-7*(WEEKDAY($E$3,2)&lt;7))-7*6),"DD.MM")&amp;"–"&amp;TEXT((($E$3-WEEKDAY($E$3,2)+1-7*(WEEKDAY($E$3,2)&lt;7))-7*6)+6,"DD.MM.YYYY")</f>
        <v/>
      </c>
      <c r="B68" s="40">
        <f>IFERROR(B97/B39,"")</f>
        <v/>
      </c>
      <c r="C68" s="40">
        <f>IFERROR(C97/C39,"")</f>
        <v/>
      </c>
      <c r="D68" s="40">
        <f>IFERROR(D97/D39,"")</f>
        <v/>
      </c>
      <c r="E68" s="56">
        <f>IFERROR(E97/E39,"")</f>
        <v/>
      </c>
    </row>
    <row r="69">
      <c r="A69" s="29">
        <f>TEXT((($E$3-WEEKDAY($E$3,2)+1-7*(WEEKDAY($E$3,2)&lt;7))-7*5),"DD.MM")&amp;"–"&amp;TEXT((($E$3-WEEKDAY($E$3,2)+1-7*(WEEKDAY($E$3,2)&lt;7))-7*5)+6,"DD.MM.YYYY")</f>
        <v/>
      </c>
      <c r="B69" s="33">
        <f>IFERROR(B98/B40,"")</f>
        <v/>
      </c>
      <c r="C69" s="33">
        <f>IFERROR(C98/C40,"")</f>
        <v/>
      </c>
      <c r="D69" s="33">
        <f>IFERROR(D98/D40,"")</f>
        <v/>
      </c>
      <c r="E69" s="55">
        <f>IFERROR(E98/E40,"")</f>
        <v/>
      </c>
    </row>
    <row r="70">
      <c r="A70" s="36">
        <f>TEXT((($E$3-WEEKDAY($E$3,2)+1-7*(WEEKDAY($E$3,2)&lt;7))-7*4),"DD.MM")&amp;"–"&amp;TEXT((($E$3-WEEKDAY($E$3,2)+1-7*(WEEKDAY($E$3,2)&lt;7))-7*4)+6,"DD.MM.YYYY")</f>
        <v/>
      </c>
      <c r="B70" s="40">
        <f>IFERROR(B99/B41,"")</f>
        <v/>
      </c>
      <c r="C70" s="40">
        <f>IFERROR(C99/C41,"")</f>
        <v/>
      </c>
      <c r="D70" s="40">
        <f>IFERROR(D99/D41,"")</f>
        <v/>
      </c>
      <c r="E70" s="56">
        <f>IFERROR(E99/E41,"")</f>
        <v/>
      </c>
    </row>
    <row r="71">
      <c r="A71" s="29">
        <f>TEXT((($E$3-WEEKDAY($E$3,2)+1-7*(WEEKDAY($E$3,2)&lt;7))-7*3),"DD.MM")&amp;"–"&amp;TEXT((($E$3-WEEKDAY($E$3,2)+1-7*(WEEKDAY($E$3,2)&lt;7))-7*3)+6,"DD.MM.YYYY")</f>
        <v/>
      </c>
      <c r="B71" s="33">
        <f>IFERROR(B100/B42,"")</f>
        <v/>
      </c>
      <c r="C71" s="33">
        <f>IFERROR(C100/C42,"")</f>
        <v/>
      </c>
      <c r="D71" s="33">
        <f>IFERROR(D100/D42,"")</f>
        <v/>
      </c>
      <c r="E71" s="55">
        <f>IFERROR(E100/E42,"")</f>
        <v/>
      </c>
    </row>
    <row r="72">
      <c r="A72" s="36">
        <f>TEXT((($E$3-WEEKDAY($E$3,2)+1-7*(WEEKDAY($E$3,2)&lt;7))-7*2),"DD.MM")&amp;"–"&amp;TEXT((($E$3-WEEKDAY($E$3,2)+1-7*(WEEKDAY($E$3,2)&lt;7))-7*2)+6,"DD.MM.YYYY")</f>
        <v/>
      </c>
      <c r="B72" s="40">
        <f>IFERROR(B101/B43,"")</f>
        <v/>
      </c>
      <c r="C72" s="40">
        <f>IFERROR(C101/C43,"")</f>
        <v/>
      </c>
      <c r="D72" s="40">
        <f>IFERROR(D101/D43,"")</f>
        <v/>
      </c>
      <c r="E72" s="56">
        <f>IFERROR(E101/E43,"")</f>
        <v/>
      </c>
    </row>
    <row r="73">
      <c r="A73" s="29">
        <f>TEXT((($E$3-WEEKDAY($E$3,2)+1-7*(WEEKDAY($E$3,2)&lt;7))-7*1),"DD.MM")&amp;"–"&amp;TEXT((($E$3-WEEKDAY($E$3,2)+1-7*(WEEKDAY($E$3,2)&lt;7))-7*1)+6,"DD.MM.YYYY")</f>
        <v/>
      </c>
      <c r="B73" s="33">
        <f>IFERROR(B102/B44,"")</f>
        <v/>
      </c>
      <c r="C73" s="33">
        <f>IFERROR(C102/C44,"")</f>
        <v/>
      </c>
      <c r="D73" s="33">
        <f>IFERROR(D102/D44,"")</f>
        <v/>
      </c>
      <c r="E73" s="55">
        <f>IFERROR(E102/E44,"")</f>
        <v/>
      </c>
    </row>
    <row r="74">
      <c r="A74" s="36">
        <f>TEXT((($E$3-WEEKDAY($E$3,2)+1-7*(WEEKDAY($E$3,2)&lt;7))-7*0),"DD.MM")&amp;"–"&amp;TEXT((($E$3-WEEKDAY($E$3,2)+1-7*(WEEKDAY($E$3,2)&lt;7))-7*0)+6,"DD.MM.YYYY")</f>
        <v/>
      </c>
      <c r="B74" s="40">
        <f>IFERROR(B103/B45,"")</f>
        <v/>
      </c>
      <c r="C74" s="40">
        <f>IFERROR(C103/C45,"")</f>
        <v/>
      </c>
      <c r="D74" s="40">
        <f>IFERROR(D103/D45,"")</f>
        <v/>
      </c>
      <c r="E74" s="56">
        <f>IFERROR(E103/E45,"")</f>
        <v/>
      </c>
    </row>
    <row r="76">
      <c r="A76" s="9" t="inlineStr">
        <is>
          <t>Расход по направлениям, по неделям</t>
        </is>
      </c>
    </row>
    <row r="77">
      <c r="A77" s="11" t="inlineStr">
        <is>
          <t>Неделя</t>
        </is>
      </c>
      <c r="B77" s="11">
        <f>'⚙ Настройки'!$A$2</f>
        <v/>
      </c>
      <c r="C77" s="11">
        <f>'⚙ Настройки'!$A$3</f>
        <v/>
      </c>
      <c r="D77" s="11">
        <f>'⚙ Настройки'!$A$4</f>
        <v/>
      </c>
      <c r="E77" s="11" t="inlineStr">
        <is>
          <t>Итого</t>
        </is>
      </c>
    </row>
    <row r="78">
      <c r="A78" s="29">
        <f>TEXT((($E$3-WEEKDAY($E$3,2)+1-7*(WEEKDAY($E$3,2)&lt;7))-7*25),"DD.MM")&amp;"–"&amp;TEXT((($E$3-WEEKDAY($E$3,2)+1-7*(WEEKDAY($E$3,2)&lt;7))-7*25)+6,"DD.MM.YYYY")</f>
        <v/>
      </c>
      <c r="B78" s="30">
        <f>SUMIFS('Данные'!$C:$C,'Данные'!$A:$A,"&gt;="&amp;(($E$3-WEEKDAY($E$3,2)+1-7*(WEEKDAY($E$3,2)&lt;7))-7*25),'Данные'!$A:$A,"&lt;"&amp;((($E$3-WEEKDAY($E$3,2)+1-7*(WEEKDAY($E$3,2)&lt;7))-7*25)+6)+1,'Данные'!$B:$B,B$77)</f>
        <v/>
      </c>
      <c r="C78" s="30">
        <f>SUMIFS('Данные'!$C:$C,'Данные'!$A:$A,"&gt;="&amp;(($E$3-WEEKDAY($E$3,2)+1-7*(WEEKDAY($E$3,2)&lt;7))-7*25),'Данные'!$A:$A,"&lt;"&amp;((($E$3-WEEKDAY($E$3,2)+1-7*(WEEKDAY($E$3,2)&lt;7))-7*25)+6)+1,'Данные'!$B:$B,C$77)</f>
        <v/>
      </c>
      <c r="D78" s="30">
        <f>SUMIFS('Данные'!$C:$C,'Данные'!$A:$A,"&gt;="&amp;(($E$3-WEEKDAY($E$3,2)+1-7*(WEEKDAY($E$3,2)&lt;7))-7*25),'Данные'!$A:$A,"&lt;"&amp;((($E$3-WEEKDAY($E$3,2)+1-7*(WEEKDAY($E$3,2)&lt;7))-7*25)+6)+1,'Данные'!$B:$B,D$77)</f>
        <v/>
      </c>
      <c r="E78" s="57">
        <f>SUM(B78:D78)</f>
        <v/>
      </c>
    </row>
    <row r="79">
      <c r="A79" s="36">
        <f>TEXT((($E$3-WEEKDAY($E$3,2)+1-7*(WEEKDAY($E$3,2)&lt;7))-7*24),"DD.MM")&amp;"–"&amp;TEXT((($E$3-WEEKDAY($E$3,2)+1-7*(WEEKDAY($E$3,2)&lt;7))-7*24)+6,"DD.MM.YYYY")</f>
        <v/>
      </c>
      <c r="B79" s="37">
        <f>SUMIFS('Данные'!$C:$C,'Данные'!$A:$A,"&gt;="&amp;(($E$3-WEEKDAY($E$3,2)+1-7*(WEEKDAY($E$3,2)&lt;7))-7*24),'Данные'!$A:$A,"&lt;"&amp;((($E$3-WEEKDAY($E$3,2)+1-7*(WEEKDAY($E$3,2)&lt;7))-7*24)+6)+1,'Данные'!$B:$B,B$77)</f>
        <v/>
      </c>
      <c r="C79" s="37">
        <f>SUMIFS('Данные'!$C:$C,'Данные'!$A:$A,"&gt;="&amp;(($E$3-WEEKDAY($E$3,2)+1-7*(WEEKDAY($E$3,2)&lt;7))-7*24),'Данные'!$A:$A,"&lt;"&amp;((($E$3-WEEKDAY($E$3,2)+1-7*(WEEKDAY($E$3,2)&lt;7))-7*24)+6)+1,'Данные'!$B:$B,C$77)</f>
        <v/>
      </c>
      <c r="D79" s="37">
        <f>SUMIFS('Данные'!$C:$C,'Данные'!$A:$A,"&gt;="&amp;(($E$3-WEEKDAY($E$3,2)+1-7*(WEEKDAY($E$3,2)&lt;7))-7*24),'Данные'!$A:$A,"&lt;"&amp;((($E$3-WEEKDAY($E$3,2)+1-7*(WEEKDAY($E$3,2)&lt;7))-7*24)+6)+1,'Данные'!$B:$B,D$77)</f>
        <v/>
      </c>
      <c r="E79" s="58">
        <f>SUM(B79:D79)</f>
        <v/>
      </c>
    </row>
    <row r="80">
      <c r="A80" s="29">
        <f>TEXT((($E$3-WEEKDAY($E$3,2)+1-7*(WEEKDAY($E$3,2)&lt;7))-7*23),"DD.MM")&amp;"–"&amp;TEXT((($E$3-WEEKDAY($E$3,2)+1-7*(WEEKDAY($E$3,2)&lt;7))-7*23)+6,"DD.MM.YYYY")</f>
        <v/>
      </c>
      <c r="B80" s="30">
        <f>SUMIFS('Данные'!$C:$C,'Данные'!$A:$A,"&gt;="&amp;(($E$3-WEEKDAY($E$3,2)+1-7*(WEEKDAY($E$3,2)&lt;7))-7*23),'Данные'!$A:$A,"&lt;"&amp;((($E$3-WEEKDAY($E$3,2)+1-7*(WEEKDAY($E$3,2)&lt;7))-7*23)+6)+1,'Данные'!$B:$B,B$77)</f>
        <v/>
      </c>
      <c r="C80" s="30">
        <f>SUMIFS('Данные'!$C:$C,'Данные'!$A:$A,"&gt;="&amp;(($E$3-WEEKDAY($E$3,2)+1-7*(WEEKDAY($E$3,2)&lt;7))-7*23),'Данные'!$A:$A,"&lt;"&amp;((($E$3-WEEKDAY($E$3,2)+1-7*(WEEKDAY($E$3,2)&lt;7))-7*23)+6)+1,'Данные'!$B:$B,C$77)</f>
        <v/>
      </c>
      <c r="D80" s="30">
        <f>SUMIFS('Данные'!$C:$C,'Данные'!$A:$A,"&gt;="&amp;(($E$3-WEEKDAY($E$3,2)+1-7*(WEEKDAY($E$3,2)&lt;7))-7*23),'Данные'!$A:$A,"&lt;"&amp;((($E$3-WEEKDAY($E$3,2)+1-7*(WEEKDAY($E$3,2)&lt;7))-7*23)+6)+1,'Данные'!$B:$B,D$77)</f>
        <v/>
      </c>
      <c r="E80" s="57">
        <f>SUM(B80:D80)</f>
        <v/>
      </c>
    </row>
    <row r="81">
      <c r="A81" s="36">
        <f>TEXT((($E$3-WEEKDAY($E$3,2)+1-7*(WEEKDAY($E$3,2)&lt;7))-7*22),"DD.MM")&amp;"–"&amp;TEXT((($E$3-WEEKDAY($E$3,2)+1-7*(WEEKDAY($E$3,2)&lt;7))-7*22)+6,"DD.MM.YYYY")</f>
        <v/>
      </c>
      <c r="B81" s="37">
        <f>SUMIFS('Данные'!$C:$C,'Данные'!$A:$A,"&gt;="&amp;(($E$3-WEEKDAY($E$3,2)+1-7*(WEEKDAY($E$3,2)&lt;7))-7*22),'Данные'!$A:$A,"&lt;"&amp;((($E$3-WEEKDAY($E$3,2)+1-7*(WEEKDAY($E$3,2)&lt;7))-7*22)+6)+1,'Данные'!$B:$B,B$77)</f>
        <v/>
      </c>
      <c r="C81" s="37">
        <f>SUMIFS('Данные'!$C:$C,'Данные'!$A:$A,"&gt;="&amp;(($E$3-WEEKDAY($E$3,2)+1-7*(WEEKDAY($E$3,2)&lt;7))-7*22),'Данные'!$A:$A,"&lt;"&amp;((($E$3-WEEKDAY($E$3,2)+1-7*(WEEKDAY($E$3,2)&lt;7))-7*22)+6)+1,'Данные'!$B:$B,C$77)</f>
        <v/>
      </c>
      <c r="D81" s="37">
        <f>SUMIFS('Данные'!$C:$C,'Данные'!$A:$A,"&gt;="&amp;(($E$3-WEEKDAY($E$3,2)+1-7*(WEEKDAY($E$3,2)&lt;7))-7*22),'Данные'!$A:$A,"&lt;"&amp;((($E$3-WEEKDAY($E$3,2)+1-7*(WEEKDAY($E$3,2)&lt;7))-7*22)+6)+1,'Данные'!$B:$B,D$77)</f>
        <v/>
      </c>
      <c r="E81" s="58">
        <f>SUM(B81:D81)</f>
        <v/>
      </c>
    </row>
    <row r="82">
      <c r="A82" s="29">
        <f>TEXT((($E$3-WEEKDAY($E$3,2)+1-7*(WEEKDAY($E$3,2)&lt;7))-7*21),"DD.MM")&amp;"–"&amp;TEXT((($E$3-WEEKDAY($E$3,2)+1-7*(WEEKDAY($E$3,2)&lt;7))-7*21)+6,"DD.MM.YYYY")</f>
        <v/>
      </c>
      <c r="B82" s="30">
        <f>SUMIFS('Данные'!$C:$C,'Данные'!$A:$A,"&gt;="&amp;(($E$3-WEEKDAY($E$3,2)+1-7*(WEEKDAY($E$3,2)&lt;7))-7*21),'Данные'!$A:$A,"&lt;"&amp;((($E$3-WEEKDAY($E$3,2)+1-7*(WEEKDAY($E$3,2)&lt;7))-7*21)+6)+1,'Данные'!$B:$B,B$77)</f>
        <v/>
      </c>
      <c r="C82" s="30">
        <f>SUMIFS('Данные'!$C:$C,'Данные'!$A:$A,"&gt;="&amp;(($E$3-WEEKDAY($E$3,2)+1-7*(WEEKDAY($E$3,2)&lt;7))-7*21),'Данные'!$A:$A,"&lt;"&amp;((($E$3-WEEKDAY($E$3,2)+1-7*(WEEKDAY($E$3,2)&lt;7))-7*21)+6)+1,'Данные'!$B:$B,C$77)</f>
        <v/>
      </c>
      <c r="D82" s="30">
        <f>SUMIFS('Данные'!$C:$C,'Данные'!$A:$A,"&gt;="&amp;(($E$3-WEEKDAY($E$3,2)+1-7*(WEEKDAY($E$3,2)&lt;7))-7*21),'Данные'!$A:$A,"&lt;"&amp;((($E$3-WEEKDAY($E$3,2)+1-7*(WEEKDAY($E$3,2)&lt;7))-7*21)+6)+1,'Данные'!$B:$B,D$77)</f>
        <v/>
      </c>
      <c r="E82" s="57">
        <f>SUM(B82:D82)</f>
        <v/>
      </c>
    </row>
    <row r="83">
      <c r="A83" s="36">
        <f>TEXT((($E$3-WEEKDAY($E$3,2)+1-7*(WEEKDAY($E$3,2)&lt;7))-7*20),"DD.MM")&amp;"–"&amp;TEXT((($E$3-WEEKDAY($E$3,2)+1-7*(WEEKDAY($E$3,2)&lt;7))-7*20)+6,"DD.MM.YYYY")</f>
        <v/>
      </c>
      <c r="B83" s="37">
        <f>SUMIFS('Данные'!$C:$C,'Данные'!$A:$A,"&gt;="&amp;(($E$3-WEEKDAY($E$3,2)+1-7*(WEEKDAY($E$3,2)&lt;7))-7*20),'Данные'!$A:$A,"&lt;"&amp;((($E$3-WEEKDAY($E$3,2)+1-7*(WEEKDAY($E$3,2)&lt;7))-7*20)+6)+1,'Данные'!$B:$B,B$77)</f>
        <v/>
      </c>
      <c r="C83" s="37">
        <f>SUMIFS('Данные'!$C:$C,'Данные'!$A:$A,"&gt;="&amp;(($E$3-WEEKDAY($E$3,2)+1-7*(WEEKDAY($E$3,2)&lt;7))-7*20),'Данные'!$A:$A,"&lt;"&amp;((($E$3-WEEKDAY($E$3,2)+1-7*(WEEKDAY($E$3,2)&lt;7))-7*20)+6)+1,'Данные'!$B:$B,C$77)</f>
        <v/>
      </c>
      <c r="D83" s="37">
        <f>SUMIFS('Данные'!$C:$C,'Данные'!$A:$A,"&gt;="&amp;(($E$3-WEEKDAY($E$3,2)+1-7*(WEEKDAY($E$3,2)&lt;7))-7*20),'Данные'!$A:$A,"&lt;"&amp;((($E$3-WEEKDAY($E$3,2)+1-7*(WEEKDAY($E$3,2)&lt;7))-7*20)+6)+1,'Данные'!$B:$B,D$77)</f>
        <v/>
      </c>
      <c r="E83" s="58">
        <f>SUM(B83:D83)</f>
        <v/>
      </c>
    </row>
    <row r="84">
      <c r="A84" s="29">
        <f>TEXT((($E$3-WEEKDAY($E$3,2)+1-7*(WEEKDAY($E$3,2)&lt;7))-7*19),"DD.MM")&amp;"–"&amp;TEXT((($E$3-WEEKDAY($E$3,2)+1-7*(WEEKDAY($E$3,2)&lt;7))-7*19)+6,"DD.MM.YYYY")</f>
        <v/>
      </c>
      <c r="B84" s="30">
        <f>SUMIFS('Данные'!$C:$C,'Данные'!$A:$A,"&gt;="&amp;(($E$3-WEEKDAY($E$3,2)+1-7*(WEEKDAY($E$3,2)&lt;7))-7*19),'Данные'!$A:$A,"&lt;"&amp;((($E$3-WEEKDAY($E$3,2)+1-7*(WEEKDAY($E$3,2)&lt;7))-7*19)+6)+1,'Данные'!$B:$B,B$77)</f>
        <v/>
      </c>
      <c r="C84" s="30">
        <f>SUMIFS('Данные'!$C:$C,'Данные'!$A:$A,"&gt;="&amp;(($E$3-WEEKDAY($E$3,2)+1-7*(WEEKDAY($E$3,2)&lt;7))-7*19),'Данные'!$A:$A,"&lt;"&amp;((($E$3-WEEKDAY($E$3,2)+1-7*(WEEKDAY($E$3,2)&lt;7))-7*19)+6)+1,'Данные'!$B:$B,C$77)</f>
        <v/>
      </c>
      <c r="D84" s="30">
        <f>SUMIFS('Данные'!$C:$C,'Данные'!$A:$A,"&gt;="&amp;(($E$3-WEEKDAY($E$3,2)+1-7*(WEEKDAY($E$3,2)&lt;7))-7*19),'Данные'!$A:$A,"&lt;"&amp;((($E$3-WEEKDAY($E$3,2)+1-7*(WEEKDAY($E$3,2)&lt;7))-7*19)+6)+1,'Данные'!$B:$B,D$77)</f>
        <v/>
      </c>
      <c r="E84" s="57">
        <f>SUM(B84:D84)</f>
        <v/>
      </c>
    </row>
    <row r="85">
      <c r="A85" s="36">
        <f>TEXT((($E$3-WEEKDAY($E$3,2)+1-7*(WEEKDAY($E$3,2)&lt;7))-7*18),"DD.MM")&amp;"–"&amp;TEXT((($E$3-WEEKDAY($E$3,2)+1-7*(WEEKDAY($E$3,2)&lt;7))-7*18)+6,"DD.MM.YYYY")</f>
        <v/>
      </c>
      <c r="B85" s="37">
        <f>SUMIFS('Данные'!$C:$C,'Данные'!$A:$A,"&gt;="&amp;(($E$3-WEEKDAY($E$3,2)+1-7*(WEEKDAY($E$3,2)&lt;7))-7*18),'Данные'!$A:$A,"&lt;"&amp;((($E$3-WEEKDAY($E$3,2)+1-7*(WEEKDAY($E$3,2)&lt;7))-7*18)+6)+1,'Данные'!$B:$B,B$77)</f>
        <v/>
      </c>
      <c r="C85" s="37">
        <f>SUMIFS('Данные'!$C:$C,'Данные'!$A:$A,"&gt;="&amp;(($E$3-WEEKDAY($E$3,2)+1-7*(WEEKDAY($E$3,2)&lt;7))-7*18),'Данные'!$A:$A,"&lt;"&amp;((($E$3-WEEKDAY($E$3,2)+1-7*(WEEKDAY($E$3,2)&lt;7))-7*18)+6)+1,'Данные'!$B:$B,C$77)</f>
        <v/>
      </c>
      <c r="D85" s="37">
        <f>SUMIFS('Данные'!$C:$C,'Данные'!$A:$A,"&gt;="&amp;(($E$3-WEEKDAY($E$3,2)+1-7*(WEEKDAY($E$3,2)&lt;7))-7*18),'Данные'!$A:$A,"&lt;"&amp;((($E$3-WEEKDAY($E$3,2)+1-7*(WEEKDAY($E$3,2)&lt;7))-7*18)+6)+1,'Данные'!$B:$B,D$77)</f>
        <v/>
      </c>
      <c r="E85" s="58">
        <f>SUM(B85:D85)</f>
        <v/>
      </c>
    </row>
    <row r="86">
      <c r="A86" s="29">
        <f>TEXT((($E$3-WEEKDAY($E$3,2)+1-7*(WEEKDAY($E$3,2)&lt;7))-7*17),"DD.MM")&amp;"–"&amp;TEXT((($E$3-WEEKDAY($E$3,2)+1-7*(WEEKDAY($E$3,2)&lt;7))-7*17)+6,"DD.MM.YYYY")</f>
        <v/>
      </c>
      <c r="B86" s="30">
        <f>SUMIFS('Данные'!$C:$C,'Данные'!$A:$A,"&gt;="&amp;(($E$3-WEEKDAY($E$3,2)+1-7*(WEEKDAY($E$3,2)&lt;7))-7*17),'Данные'!$A:$A,"&lt;"&amp;((($E$3-WEEKDAY($E$3,2)+1-7*(WEEKDAY($E$3,2)&lt;7))-7*17)+6)+1,'Данные'!$B:$B,B$77)</f>
        <v/>
      </c>
      <c r="C86" s="30">
        <f>SUMIFS('Данные'!$C:$C,'Данные'!$A:$A,"&gt;="&amp;(($E$3-WEEKDAY($E$3,2)+1-7*(WEEKDAY($E$3,2)&lt;7))-7*17),'Данные'!$A:$A,"&lt;"&amp;((($E$3-WEEKDAY($E$3,2)+1-7*(WEEKDAY($E$3,2)&lt;7))-7*17)+6)+1,'Данные'!$B:$B,C$77)</f>
        <v/>
      </c>
      <c r="D86" s="30">
        <f>SUMIFS('Данные'!$C:$C,'Данные'!$A:$A,"&gt;="&amp;(($E$3-WEEKDAY($E$3,2)+1-7*(WEEKDAY($E$3,2)&lt;7))-7*17),'Данные'!$A:$A,"&lt;"&amp;((($E$3-WEEKDAY($E$3,2)+1-7*(WEEKDAY($E$3,2)&lt;7))-7*17)+6)+1,'Данные'!$B:$B,D$77)</f>
        <v/>
      </c>
      <c r="E86" s="57">
        <f>SUM(B86:D86)</f>
        <v/>
      </c>
    </row>
    <row r="87">
      <c r="A87" s="36">
        <f>TEXT((($E$3-WEEKDAY($E$3,2)+1-7*(WEEKDAY($E$3,2)&lt;7))-7*16),"DD.MM")&amp;"–"&amp;TEXT((($E$3-WEEKDAY($E$3,2)+1-7*(WEEKDAY($E$3,2)&lt;7))-7*16)+6,"DD.MM.YYYY")</f>
        <v/>
      </c>
      <c r="B87" s="37">
        <f>SUMIFS('Данные'!$C:$C,'Данные'!$A:$A,"&gt;="&amp;(($E$3-WEEKDAY($E$3,2)+1-7*(WEEKDAY($E$3,2)&lt;7))-7*16),'Данные'!$A:$A,"&lt;"&amp;((($E$3-WEEKDAY($E$3,2)+1-7*(WEEKDAY($E$3,2)&lt;7))-7*16)+6)+1,'Данные'!$B:$B,B$77)</f>
        <v/>
      </c>
      <c r="C87" s="37">
        <f>SUMIFS('Данные'!$C:$C,'Данные'!$A:$A,"&gt;="&amp;(($E$3-WEEKDAY($E$3,2)+1-7*(WEEKDAY($E$3,2)&lt;7))-7*16),'Данные'!$A:$A,"&lt;"&amp;((($E$3-WEEKDAY($E$3,2)+1-7*(WEEKDAY($E$3,2)&lt;7))-7*16)+6)+1,'Данные'!$B:$B,C$77)</f>
        <v/>
      </c>
      <c r="D87" s="37">
        <f>SUMIFS('Данные'!$C:$C,'Данные'!$A:$A,"&gt;="&amp;(($E$3-WEEKDAY($E$3,2)+1-7*(WEEKDAY($E$3,2)&lt;7))-7*16),'Данные'!$A:$A,"&lt;"&amp;((($E$3-WEEKDAY($E$3,2)+1-7*(WEEKDAY($E$3,2)&lt;7))-7*16)+6)+1,'Данные'!$B:$B,D$77)</f>
        <v/>
      </c>
      <c r="E87" s="58">
        <f>SUM(B87:D87)</f>
        <v/>
      </c>
    </row>
    <row r="88">
      <c r="A88" s="29">
        <f>TEXT((($E$3-WEEKDAY($E$3,2)+1-7*(WEEKDAY($E$3,2)&lt;7))-7*15),"DD.MM")&amp;"–"&amp;TEXT((($E$3-WEEKDAY($E$3,2)+1-7*(WEEKDAY($E$3,2)&lt;7))-7*15)+6,"DD.MM.YYYY")</f>
        <v/>
      </c>
      <c r="B88" s="30">
        <f>SUMIFS('Данные'!$C:$C,'Данные'!$A:$A,"&gt;="&amp;(($E$3-WEEKDAY($E$3,2)+1-7*(WEEKDAY($E$3,2)&lt;7))-7*15),'Данные'!$A:$A,"&lt;"&amp;((($E$3-WEEKDAY($E$3,2)+1-7*(WEEKDAY($E$3,2)&lt;7))-7*15)+6)+1,'Данные'!$B:$B,B$77)</f>
        <v/>
      </c>
      <c r="C88" s="30">
        <f>SUMIFS('Данные'!$C:$C,'Данные'!$A:$A,"&gt;="&amp;(($E$3-WEEKDAY($E$3,2)+1-7*(WEEKDAY($E$3,2)&lt;7))-7*15),'Данные'!$A:$A,"&lt;"&amp;((($E$3-WEEKDAY($E$3,2)+1-7*(WEEKDAY($E$3,2)&lt;7))-7*15)+6)+1,'Данные'!$B:$B,C$77)</f>
        <v/>
      </c>
      <c r="D88" s="30">
        <f>SUMIFS('Данные'!$C:$C,'Данные'!$A:$A,"&gt;="&amp;(($E$3-WEEKDAY($E$3,2)+1-7*(WEEKDAY($E$3,2)&lt;7))-7*15),'Данные'!$A:$A,"&lt;"&amp;((($E$3-WEEKDAY($E$3,2)+1-7*(WEEKDAY($E$3,2)&lt;7))-7*15)+6)+1,'Данные'!$B:$B,D$77)</f>
        <v/>
      </c>
      <c r="E88" s="57">
        <f>SUM(B88:D88)</f>
        <v/>
      </c>
    </row>
    <row r="89">
      <c r="A89" s="36">
        <f>TEXT((($E$3-WEEKDAY($E$3,2)+1-7*(WEEKDAY($E$3,2)&lt;7))-7*14),"DD.MM")&amp;"–"&amp;TEXT((($E$3-WEEKDAY($E$3,2)+1-7*(WEEKDAY($E$3,2)&lt;7))-7*14)+6,"DD.MM.YYYY")</f>
        <v/>
      </c>
      <c r="B89" s="37">
        <f>SUMIFS('Данные'!$C:$C,'Данные'!$A:$A,"&gt;="&amp;(($E$3-WEEKDAY($E$3,2)+1-7*(WEEKDAY($E$3,2)&lt;7))-7*14),'Данные'!$A:$A,"&lt;"&amp;((($E$3-WEEKDAY($E$3,2)+1-7*(WEEKDAY($E$3,2)&lt;7))-7*14)+6)+1,'Данные'!$B:$B,B$77)</f>
        <v/>
      </c>
      <c r="C89" s="37">
        <f>SUMIFS('Данные'!$C:$C,'Данные'!$A:$A,"&gt;="&amp;(($E$3-WEEKDAY($E$3,2)+1-7*(WEEKDAY($E$3,2)&lt;7))-7*14),'Данные'!$A:$A,"&lt;"&amp;((($E$3-WEEKDAY($E$3,2)+1-7*(WEEKDAY($E$3,2)&lt;7))-7*14)+6)+1,'Данные'!$B:$B,C$77)</f>
        <v/>
      </c>
      <c r="D89" s="37">
        <f>SUMIFS('Данные'!$C:$C,'Данные'!$A:$A,"&gt;="&amp;(($E$3-WEEKDAY($E$3,2)+1-7*(WEEKDAY($E$3,2)&lt;7))-7*14),'Данные'!$A:$A,"&lt;"&amp;((($E$3-WEEKDAY($E$3,2)+1-7*(WEEKDAY($E$3,2)&lt;7))-7*14)+6)+1,'Данные'!$B:$B,D$77)</f>
        <v/>
      </c>
      <c r="E89" s="58">
        <f>SUM(B89:D89)</f>
        <v/>
      </c>
    </row>
    <row r="90">
      <c r="A90" s="29">
        <f>TEXT((($E$3-WEEKDAY($E$3,2)+1-7*(WEEKDAY($E$3,2)&lt;7))-7*13),"DD.MM")&amp;"–"&amp;TEXT((($E$3-WEEKDAY($E$3,2)+1-7*(WEEKDAY($E$3,2)&lt;7))-7*13)+6,"DD.MM.YYYY")</f>
        <v/>
      </c>
      <c r="B90" s="30">
        <f>SUMIFS('Данные'!$C:$C,'Данные'!$A:$A,"&gt;="&amp;(($E$3-WEEKDAY($E$3,2)+1-7*(WEEKDAY($E$3,2)&lt;7))-7*13),'Данные'!$A:$A,"&lt;"&amp;((($E$3-WEEKDAY($E$3,2)+1-7*(WEEKDAY($E$3,2)&lt;7))-7*13)+6)+1,'Данные'!$B:$B,B$77)</f>
        <v/>
      </c>
      <c r="C90" s="30">
        <f>SUMIFS('Данные'!$C:$C,'Данные'!$A:$A,"&gt;="&amp;(($E$3-WEEKDAY($E$3,2)+1-7*(WEEKDAY($E$3,2)&lt;7))-7*13),'Данные'!$A:$A,"&lt;"&amp;((($E$3-WEEKDAY($E$3,2)+1-7*(WEEKDAY($E$3,2)&lt;7))-7*13)+6)+1,'Данные'!$B:$B,C$77)</f>
        <v/>
      </c>
      <c r="D90" s="30">
        <f>SUMIFS('Данные'!$C:$C,'Данные'!$A:$A,"&gt;="&amp;(($E$3-WEEKDAY($E$3,2)+1-7*(WEEKDAY($E$3,2)&lt;7))-7*13),'Данные'!$A:$A,"&lt;"&amp;((($E$3-WEEKDAY($E$3,2)+1-7*(WEEKDAY($E$3,2)&lt;7))-7*13)+6)+1,'Данные'!$B:$B,D$77)</f>
        <v/>
      </c>
      <c r="E90" s="57">
        <f>SUM(B90:D90)</f>
        <v/>
      </c>
    </row>
    <row r="91">
      <c r="A91" s="36">
        <f>TEXT((($E$3-WEEKDAY($E$3,2)+1-7*(WEEKDAY($E$3,2)&lt;7))-7*12),"DD.MM")&amp;"–"&amp;TEXT((($E$3-WEEKDAY($E$3,2)+1-7*(WEEKDAY($E$3,2)&lt;7))-7*12)+6,"DD.MM.YYYY")</f>
        <v/>
      </c>
      <c r="B91" s="37">
        <f>SUMIFS('Данные'!$C:$C,'Данные'!$A:$A,"&gt;="&amp;(($E$3-WEEKDAY($E$3,2)+1-7*(WEEKDAY($E$3,2)&lt;7))-7*12),'Данные'!$A:$A,"&lt;"&amp;((($E$3-WEEKDAY($E$3,2)+1-7*(WEEKDAY($E$3,2)&lt;7))-7*12)+6)+1,'Данные'!$B:$B,B$77)</f>
        <v/>
      </c>
      <c r="C91" s="37">
        <f>SUMIFS('Данные'!$C:$C,'Данные'!$A:$A,"&gt;="&amp;(($E$3-WEEKDAY($E$3,2)+1-7*(WEEKDAY($E$3,2)&lt;7))-7*12),'Данные'!$A:$A,"&lt;"&amp;((($E$3-WEEKDAY($E$3,2)+1-7*(WEEKDAY($E$3,2)&lt;7))-7*12)+6)+1,'Данные'!$B:$B,C$77)</f>
        <v/>
      </c>
      <c r="D91" s="37">
        <f>SUMIFS('Данные'!$C:$C,'Данные'!$A:$A,"&gt;="&amp;(($E$3-WEEKDAY($E$3,2)+1-7*(WEEKDAY($E$3,2)&lt;7))-7*12),'Данные'!$A:$A,"&lt;"&amp;((($E$3-WEEKDAY($E$3,2)+1-7*(WEEKDAY($E$3,2)&lt;7))-7*12)+6)+1,'Данные'!$B:$B,D$77)</f>
        <v/>
      </c>
      <c r="E91" s="58">
        <f>SUM(B91:D91)</f>
        <v/>
      </c>
    </row>
    <row r="92">
      <c r="A92" s="29">
        <f>TEXT((($E$3-WEEKDAY($E$3,2)+1-7*(WEEKDAY($E$3,2)&lt;7))-7*11),"DD.MM")&amp;"–"&amp;TEXT((($E$3-WEEKDAY($E$3,2)+1-7*(WEEKDAY($E$3,2)&lt;7))-7*11)+6,"DD.MM.YYYY")</f>
        <v/>
      </c>
      <c r="B92" s="30">
        <f>SUMIFS('Данные'!$C:$C,'Данные'!$A:$A,"&gt;="&amp;(($E$3-WEEKDAY($E$3,2)+1-7*(WEEKDAY($E$3,2)&lt;7))-7*11),'Данные'!$A:$A,"&lt;"&amp;((($E$3-WEEKDAY($E$3,2)+1-7*(WEEKDAY($E$3,2)&lt;7))-7*11)+6)+1,'Данные'!$B:$B,B$77)</f>
        <v/>
      </c>
      <c r="C92" s="30">
        <f>SUMIFS('Данные'!$C:$C,'Данные'!$A:$A,"&gt;="&amp;(($E$3-WEEKDAY($E$3,2)+1-7*(WEEKDAY($E$3,2)&lt;7))-7*11),'Данные'!$A:$A,"&lt;"&amp;((($E$3-WEEKDAY($E$3,2)+1-7*(WEEKDAY($E$3,2)&lt;7))-7*11)+6)+1,'Данные'!$B:$B,C$77)</f>
        <v/>
      </c>
      <c r="D92" s="30">
        <f>SUMIFS('Данные'!$C:$C,'Данные'!$A:$A,"&gt;="&amp;(($E$3-WEEKDAY($E$3,2)+1-7*(WEEKDAY($E$3,2)&lt;7))-7*11),'Данные'!$A:$A,"&lt;"&amp;((($E$3-WEEKDAY($E$3,2)+1-7*(WEEKDAY($E$3,2)&lt;7))-7*11)+6)+1,'Данные'!$B:$B,D$77)</f>
        <v/>
      </c>
      <c r="E92" s="57">
        <f>SUM(B92:D92)</f>
        <v/>
      </c>
    </row>
    <row r="93">
      <c r="A93" s="36">
        <f>TEXT((($E$3-WEEKDAY($E$3,2)+1-7*(WEEKDAY($E$3,2)&lt;7))-7*10),"DD.MM")&amp;"–"&amp;TEXT((($E$3-WEEKDAY($E$3,2)+1-7*(WEEKDAY($E$3,2)&lt;7))-7*10)+6,"DD.MM.YYYY")</f>
        <v/>
      </c>
      <c r="B93" s="37">
        <f>SUMIFS('Данные'!$C:$C,'Данные'!$A:$A,"&gt;="&amp;(($E$3-WEEKDAY($E$3,2)+1-7*(WEEKDAY($E$3,2)&lt;7))-7*10),'Данные'!$A:$A,"&lt;"&amp;((($E$3-WEEKDAY($E$3,2)+1-7*(WEEKDAY($E$3,2)&lt;7))-7*10)+6)+1,'Данные'!$B:$B,B$77)</f>
        <v/>
      </c>
      <c r="C93" s="37">
        <f>SUMIFS('Данные'!$C:$C,'Данные'!$A:$A,"&gt;="&amp;(($E$3-WEEKDAY($E$3,2)+1-7*(WEEKDAY($E$3,2)&lt;7))-7*10),'Данные'!$A:$A,"&lt;"&amp;((($E$3-WEEKDAY($E$3,2)+1-7*(WEEKDAY($E$3,2)&lt;7))-7*10)+6)+1,'Данные'!$B:$B,C$77)</f>
        <v/>
      </c>
      <c r="D93" s="37">
        <f>SUMIFS('Данные'!$C:$C,'Данные'!$A:$A,"&gt;="&amp;(($E$3-WEEKDAY($E$3,2)+1-7*(WEEKDAY($E$3,2)&lt;7))-7*10),'Данные'!$A:$A,"&lt;"&amp;((($E$3-WEEKDAY($E$3,2)+1-7*(WEEKDAY($E$3,2)&lt;7))-7*10)+6)+1,'Данные'!$B:$B,D$77)</f>
        <v/>
      </c>
      <c r="E93" s="58">
        <f>SUM(B93:D93)</f>
        <v/>
      </c>
    </row>
    <row r="94">
      <c r="A94" s="29">
        <f>TEXT((($E$3-WEEKDAY($E$3,2)+1-7*(WEEKDAY($E$3,2)&lt;7))-7*9),"DD.MM")&amp;"–"&amp;TEXT((($E$3-WEEKDAY($E$3,2)+1-7*(WEEKDAY($E$3,2)&lt;7))-7*9)+6,"DD.MM.YYYY")</f>
        <v/>
      </c>
      <c r="B94" s="30">
        <f>SUMIFS('Данные'!$C:$C,'Данные'!$A:$A,"&gt;="&amp;(($E$3-WEEKDAY($E$3,2)+1-7*(WEEKDAY($E$3,2)&lt;7))-7*9),'Данные'!$A:$A,"&lt;"&amp;((($E$3-WEEKDAY($E$3,2)+1-7*(WEEKDAY($E$3,2)&lt;7))-7*9)+6)+1,'Данные'!$B:$B,B$77)</f>
        <v/>
      </c>
      <c r="C94" s="30">
        <f>SUMIFS('Данные'!$C:$C,'Данные'!$A:$A,"&gt;="&amp;(($E$3-WEEKDAY($E$3,2)+1-7*(WEEKDAY($E$3,2)&lt;7))-7*9),'Данные'!$A:$A,"&lt;"&amp;((($E$3-WEEKDAY($E$3,2)+1-7*(WEEKDAY($E$3,2)&lt;7))-7*9)+6)+1,'Данные'!$B:$B,C$77)</f>
        <v/>
      </c>
      <c r="D94" s="30">
        <f>SUMIFS('Данные'!$C:$C,'Данные'!$A:$A,"&gt;="&amp;(($E$3-WEEKDAY($E$3,2)+1-7*(WEEKDAY($E$3,2)&lt;7))-7*9),'Данные'!$A:$A,"&lt;"&amp;((($E$3-WEEKDAY($E$3,2)+1-7*(WEEKDAY($E$3,2)&lt;7))-7*9)+6)+1,'Данные'!$B:$B,D$77)</f>
        <v/>
      </c>
      <c r="E94" s="57">
        <f>SUM(B94:D94)</f>
        <v/>
      </c>
    </row>
    <row r="95">
      <c r="A95" s="36">
        <f>TEXT((($E$3-WEEKDAY($E$3,2)+1-7*(WEEKDAY($E$3,2)&lt;7))-7*8),"DD.MM")&amp;"–"&amp;TEXT((($E$3-WEEKDAY($E$3,2)+1-7*(WEEKDAY($E$3,2)&lt;7))-7*8)+6,"DD.MM.YYYY")</f>
        <v/>
      </c>
      <c r="B95" s="37">
        <f>SUMIFS('Данные'!$C:$C,'Данные'!$A:$A,"&gt;="&amp;(($E$3-WEEKDAY($E$3,2)+1-7*(WEEKDAY($E$3,2)&lt;7))-7*8),'Данные'!$A:$A,"&lt;"&amp;((($E$3-WEEKDAY($E$3,2)+1-7*(WEEKDAY($E$3,2)&lt;7))-7*8)+6)+1,'Данные'!$B:$B,B$77)</f>
        <v/>
      </c>
      <c r="C95" s="37">
        <f>SUMIFS('Данные'!$C:$C,'Данные'!$A:$A,"&gt;="&amp;(($E$3-WEEKDAY($E$3,2)+1-7*(WEEKDAY($E$3,2)&lt;7))-7*8),'Данные'!$A:$A,"&lt;"&amp;((($E$3-WEEKDAY($E$3,2)+1-7*(WEEKDAY($E$3,2)&lt;7))-7*8)+6)+1,'Данные'!$B:$B,C$77)</f>
        <v/>
      </c>
      <c r="D95" s="37">
        <f>SUMIFS('Данные'!$C:$C,'Данные'!$A:$A,"&gt;="&amp;(($E$3-WEEKDAY($E$3,2)+1-7*(WEEKDAY($E$3,2)&lt;7))-7*8),'Данные'!$A:$A,"&lt;"&amp;((($E$3-WEEKDAY($E$3,2)+1-7*(WEEKDAY($E$3,2)&lt;7))-7*8)+6)+1,'Данные'!$B:$B,D$77)</f>
        <v/>
      </c>
      <c r="E95" s="58">
        <f>SUM(B95:D95)</f>
        <v/>
      </c>
    </row>
    <row r="96">
      <c r="A96" s="29">
        <f>TEXT((($E$3-WEEKDAY($E$3,2)+1-7*(WEEKDAY($E$3,2)&lt;7))-7*7),"DD.MM")&amp;"–"&amp;TEXT((($E$3-WEEKDAY($E$3,2)+1-7*(WEEKDAY($E$3,2)&lt;7))-7*7)+6,"DD.MM.YYYY")</f>
        <v/>
      </c>
      <c r="B96" s="30">
        <f>SUMIFS('Данные'!$C:$C,'Данные'!$A:$A,"&gt;="&amp;(($E$3-WEEKDAY($E$3,2)+1-7*(WEEKDAY($E$3,2)&lt;7))-7*7),'Данные'!$A:$A,"&lt;"&amp;((($E$3-WEEKDAY($E$3,2)+1-7*(WEEKDAY($E$3,2)&lt;7))-7*7)+6)+1,'Данные'!$B:$B,B$77)</f>
        <v/>
      </c>
      <c r="C96" s="30">
        <f>SUMIFS('Данные'!$C:$C,'Данные'!$A:$A,"&gt;="&amp;(($E$3-WEEKDAY($E$3,2)+1-7*(WEEKDAY($E$3,2)&lt;7))-7*7),'Данные'!$A:$A,"&lt;"&amp;((($E$3-WEEKDAY($E$3,2)+1-7*(WEEKDAY($E$3,2)&lt;7))-7*7)+6)+1,'Данные'!$B:$B,C$77)</f>
        <v/>
      </c>
      <c r="D96" s="30">
        <f>SUMIFS('Данные'!$C:$C,'Данные'!$A:$A,"&gt;="&amp;(($E$3-WEEKDAY($E$3,2)+1-7*(WEEKDAY($E$3,2)&lt;7))-7*7),'Данные'!$A:$A,"&lt;"&amp;((($E$3-WEEKDAY($E$3,2)+1-7*(WEEKDAY($E$3,2)&lt;7))-7*7)+6)+1,'Данные'!$B:$B,D$77)</f>
        <v/>
      </c>
      <c r="E96" s="57">
        <f>SUM(B96:D96)</f>
        <v/>
      </c>
    </row>
    <row r="97">
      <c r="A97" s="36">
        <f>TEXT((($E$3-WEEKDAY($E$3,2)+1-7*(WEEKDAY($E$3,2)&lt;7))-7*6),"DD.MM")&amp;"–"&amp;TEXT((($E$3-WEEKDAY($E$3,2)+1-7*(WEEKDAY($E$3,2)&lt;7))-7*6)+6,"DD.MM.YYYY")</f>
        <v/>
      </c>
      <c r="B97" s="37">
        <f>SUMIFS('Данные'!$C:$C,'Данные'!$A:$A,"&gt;="&amp;(($E$3-WEEKDAY($E$3,2)+1-7*(WEEKDAY($E$3,2)&lt;7))-7*6),'Данные'!$A:$A,"&lt;"&amp;((($E$3-WEEKDAY($E$3,2)+1-7*(WEEKDAY($E$3,2)&lt;7))-7*6)+6)+1,'Данные'!$B:$B,B$77)</f>
        <v/>
      </c>
      <c r="C97" s="37">
        <f>SUMIFS('Данные'!$C:$C,'Данные'!$A:$A,"&gt;="&amp;(($E$3-WEEKDAY($E$3,2)+1-7*(WEEKDAY($E$3,2)&lt;7))-7*6),'Данные'!$A:$A,"&lt;"&amp;((($E$3-WEEKDAY($E$3,2)+1-7*(WEEKDAY($E$3,2)&lt;7))-7*6)+6)+1,'Данные'!$B:$B,C$77)</f>
        <v/>
      </c>
      <c r="D97" s="37">
        <f>SUMIFS('Данные'!$C:$C,'Данные'!$A:$A,"&gt;="&amp;(($E$3-WEEKDAY($E$3,2)+1-7*(WEEKDAY($E$3,2)&lt;7))-7*6),'Данные'!$A:$A,"&lt;"&amp;((($E$3-WEEKDAY($E$3,2)+1-7*(WEEKDAY($E$3,2)&lt;7))-7*6)+6)+1,'Данные'!$B:$B,D$77)</f>
        <v/>
      </c>
      <c r="E97" s="58">
        <f>SUM(B97:D97)</f>
        <v/>
      </c>
    </row>
    <row r="98">
      <c r="A98" s="29">
        <f>TEXT((($E$3-WEEKDAY($E$3,2)+1-7*(WEEKDAY($E$3,2)&lt;7))-7*5),"DD.MM")&amp;"–"&amp;TEXT((($E$3-WEEKDAY($E$3,2)+1-7*(WEEKDAY($E$3,2)&lt;7))-7*5)+6,"DD.MM.YYYY")</f>
        <v/>
      </c>
      <c r="B98" s="30">
        <f>SUMIFS('Данные'!$C:$C,'Данные'!$A:$A,"&gt;="&amp;(($E$3-WEEKDAY($E$3,2)+1-7*(WEEKDAY($E$3,2)&lt;7))-7*5),'Данные'!$A:$A,"&lt;"&amp;((($E$3-WEEKDAY($E$3,2)+1-7*(WEEKDAY($E$3,2)&lt;7))-7*5)+6)+1,'Данные'!$B:$B,B$77)</f>
        <v/>
      </c>
      <c r="C98" s="30">
        <f>SUMIFS('Данные'!$C:$C,'Данные'!$A:$A,"&gt;="&amp;(($E$3-WEEKDAY($E$3,2)+1-7*(WEEKDAY($E$3,2)&lt;7))-7*5),'Данные'!$A:$A,"&lt;"&amp;((($E$3-WEEKDAY($E$3,2)+1-7*(WEEKDAY($E$3,2)&lt;7))-7*5)+6)+1,'Данные'!$B:$B,C$77)</f>
        <v/>
      </c>
      <c r="D98" s="30">
        <f>SUMIFS('Данные'!$C:$C,'Данные'!$A:$A,"&gt;="&amp;(($E$3-WEEKDAY($E$3,2)+1-7*(WEEKDAY($E$3,2)&lt;7))-7*5),'Данные'!$A:$A,"&lt;"&amp;((($E$3-WEEKDAY($E$3,2)+1-7*(WEEKDAY($E$3,2)&lt;7))-7*5)+6)+1,'Данные'!$B:$B,D$77)</f>
        <v/>
      </c>
      <c r="E98" s="57">
        <f>SUM(B98:D98)</f>
        <v/>
      </c>
    </row>
    <row r="99">
      <c r="A99" s="36">
        <f>TEXT((($E$3-WEEKDAY($E$3,2)+1-7*(WEEKDAY($E$3,2)&lt;7))-7*4),"DD.MM")&amp;"–"&amp;TEXT((($E$3-WEEKDAY($E$3,2)+1-7*(WEEKDAY($E$3,2)&lt;7))-7*4)+6,"DD.MM.YYYY")</f>
        <v/>
      </c>
      <c r="B99" s="37">
        <f>SUMIFS('Данные'!$C:$C,'Данные'!$A:$A,"&gt;="&amp;(($E$3-WEEKDAY($E$3,2)+1-7*(WEEKDAY($E$3,2)&lt;7))-7*4),'Данные'!$A:$A,"&lt;"&amp;((($E$3-WEEKDAY($E$3,2)+1-7*(WEEKDAY($E$3,2)&lt;7))-7*4)+6)+1,'Данные'!$B:$B,B$77)</f>
        <v/>
      </c>
      <c r="C99" s="37">
        <f>SUMIFS('Данные'!$C:$C,'Данные'!$A:$A,"&gt;="&amp;(($E$3-WEEKDAY($E$3,2)+1-7*(WEEKDAY($E$3,2)&lt;7))-7*4),'Данные'!$A:$A,"&lt;"&amp;((($E$3-WEEKDAY($E$3,2)+1-7*(WEEKDAY($E$3,2)&lt;7))-7*4)+6)+1,'Данные'!$B:$B,C$77)</f>
        <v/>
      </c>
      <c r="D99" s="37">
        <f>SUMIFS('Данные'!$C:$C,'Данные'!$A:$A,"&gt;="&amp;(($E$3-WEEKDAY($E$3,2)+1-7*(WEEKDAY($E$3,2)&lt;7))-7*4),'Данные'!$A:$A,"&lt;"&amp;((($E$3-WEEKDAY($E$3,2)+1-7*(WEEKDAY($E$3,2)&lt;7))-7*4)+6)+1,'Данные'!$B:$B,D$77)</f>
        <v/>
      </c>
      <c r="E99" s="58">
        <f>SUM(B99:D99)</f>
        <v/>
      </c>
    </row>
    <row r="100">
      <c r="A100" s="29">
        <f>TEXT((($E$3-WEEKDAY($E$3,2)+1-7*(WEEKDAY($E$3,2)&lt;7))-7*3),"DD.MM")&amp;"–"&amp;TEXT((($E$3-WEEKDAY($E$3,2)+1-7*(WEEKDAY($E$3,2)&lt;7))-7*3)+6,"DD.MM.YYYY")</f>
        <v/>
      </c>
      <c r="B100" s="30">
        <f>SUMIFS('Данные'!$C:$C,'Данные'!$A:$A,"&gt;="&amp;(($E$3-WEEKDAY($E$3,2)+1-7*(WEEKDAY($E$3,2)&lt;7))-7*3),'Данные'!$A:$A,"&lt;"&amp;((($E$3-WEEKDAY($E$3,2)+1-7*(WEEKDAY($E$3,2)&lt;7))-7*3)+6)+1,'Данные'!$B:$B,B$77)</f>
        <v/>
      </c>
      <c r="C100" s="30">
        <f>SUMIFS('Данные'!$C:$C,'Данные'!$A:$A,"&gt;="&amp;(($E$3-WEEKDAY($E$3,2)+1-7*(WEEKDAY($E$3,2)&lt;7))-7*3),'Данные'!$A:$A,"&lt;"&amp;((($E$3-WEEKDAY($E$3,2)+1-7*(WEEKDAY($E$3,2)&lt;7))-7*3)+6)+1,'Данные'!$B:$B,C$77)</f>
        <v/>
      </c>
      <c r="D100" s="30">
        <f>SUMIFS('Данные'!$C:$C,'Данные'!$A:$A,"&gt;="&amp;(($E$3-WEEKDAY($E$3,2)+1-7*(WEEKDAY($E$3,2)&lt;7))-7*3),'Данные'!$A:$A,"&lt;"&amp;((($E$3-WEEKDAY($E$3,2)+1-7*(WEEKDAY($E$3,2)&lt;7))-7*3)+6)+1,'Данные'!$B:$B,D$77)</f>
        <v/>
      </c>
      <c r="E100" s="57">
        <f>SUM(B100:D100)</f>
        <v/>
      </c>
    </row>
    <row r="101">
      <c r="A101" s="36">
        <f>TEXT((($E$3-WEEKDAY($E$3,2)+1-7*(WEEKDAY($E$3,2)&lt;7))-7*2),"DD.MM")&amp;"–"&amp;TEXT((($E$3-WEEKDAY($E$3,2)+1-7*(WEEKDAY($E$3,2)&lt;7))-7*2)+6,"DD.MM.YYYY")</f>
        <v/>
      </c>
      <c r="B101" s="37">
        <f>SUMIFS('Данные'!$C:$C,'Данные'!$A:$A,"&gt;="&amp;(($E$3-WEEKDAY($E$3,2)+1-7*(WEEKDAY($E$3,2)&lt;7))-7*2),'Данные'!$A:$A,"&lt;"&amp;((($E$3-WEEKDAY($E$3,2)+1-7*(WEEKDAY($E$3,2)&lt;7))-7*2)+6)+1,'Данные'!$B:$B,B$77)</f>
        <v/>
      </c>
      <c r="C101" s="37">
        <f>SUMIFS('Данные'!$C:$C,'Данные'!$A:$A,"&gt;="&amp;(($E$3-WEEKDAY($E$3,2)+1-7*(WEEKDAY($E$3,2)&lt;7))-7*2),'Данные'!$A:$A,"&lt;"&amp;((($E$3-WEEKDAY($E$3,2)+1-7*(WEEKDAY($E$3,2)&lt;7))-7*2)+6)+1,'Данные'!$B:$B,C$77)</f>
        <v/>
      </c>
      <c r="D101" s="37">
        <f>SUMIFS('Данные'!$C:$C,'Данные'!$A:$A,"&gt;="&amp;(($E$3-WEEKDAY($E$3,2)+1-7*(WEEKDAY($E$3,2)&lt;7))-7*2),'Данные'!$A:$A,"&lt;"&amp;((($E$3-WEEKDAY($E$3,2)+1-7*(WEEKDAY($E$3,2)&lt;7))-7*2)+6)+1,'Данные'!$B:$B,D$77)</f>
        <v/>
      </c>
      <c r="E101" s="58">
        <f>SUM(B101:D101)</f>
        <v/>
      </c>
    </row>
    <row r="102">
      <c r="A102" s="29">
        <f>TEXT((($E$3-WEEKDAY($E$3,2)+1-7*(WEEKDAY($E$3,2)&lt;7))-7*1),"DD.MM")&amp;"–"&amp;TEXT((($E$3-WEEKDAY($E$3,2)+1-7*(WEEKDAY($E$3,2)&lt;7))-7*1)+6,"DD.MM.YYYY")</f>
        <v/>
      </c>
      <c r="B102" s="30">
        <f>SUMIFS('Данные'!$C:$C,'Данные'!$A:$A,"&gt;="&amp;(($E$3-WEEKDAY($E$3,2)+1-7*(WEEKDAY($E$3,2)&lt;7))-7*1),'Данные'!$A:$A,"&lt;"&amp;((($E$3-WEEKDAY($E$3,2)+1-7*(WEEKDAY($E$3,2)&lt;7))-7*1)+6)+1,'Данные'!$B:$B,B$77)</f>
        <v/>
      </c>
      <c r="C102" s="30">
        <f>SUMIFS('Данные'!$C:$C,'Данные'!$A:$A,"&gt;="&amp;(($E$3-WEEKDAY($E$3,2)+1-7*(WEEKDAY($E$3,2)&lt;7))-7*1),'Данные'!$A:$A,"&lt;"&amp;((($E$3-WEEKDAY($E$3,2)+1-7*(WEEKDAY($E$3,2)&lt;7))-7*1)+6)+1,'Данные'!$B:$B,C$77)</f>
        <v/>
      </c>
      <c r="D102" s="30">
        <f>SUMIFS('Данные'!$C:$C,'Данные'!$A:$A,"&gt;="&amp;(($E$3-WEEKDAY($E$3,2)+1-7*(WEEKDAY($E$3,2)&lt;7))-7*1),'Данные'!$A:$A,"&lt;"&amp;((($E$3-WEEKDAY($E$3,2)+1-7*(WEEKDAY($E$3,2)&lt;7))-7*1)+6)+1,'Данные'!$B:$B,D$77)</f>
        <v/>
      </c>
      <c r="E102" s="57">
        <f>SUM(B102:D102)</f>
        <v/>
      </c>
    </row>
    <row r="103">
      <c r="A103" s="36">
        <f>TEXT((($E$3-WEEKDAY($E$3,2)+1-7*(WEEKDAY($E$3,2)&lt;7))-7*0),"DD.MM")&amp;"–"&amp;TEXT((($E$3-WEEKDAY($E$3,2)+1-7*(WEEKDAY($E$3,2)&lt;7))-7*0)+6,"DD.MM.YYYY")</f>
        <v/>
      </c>
      <c r="B103" s="37">
        <f>SUMIFS('Данные'!$C:$C,'Данные'!$A:$A,"&gt;="&amp;(($E$3-WEEKDAY($E$3,2)+1-7*(WEEKDAY($E$3,2)&lt;7))-7*0),'Данные'!$A:$A,"&lt;"&amp;((($E$3-WEEKDAY($E$3,2)+1-7*(WEEKDAY($E$3,2)&lt;7))-7*0)+6)+1,'Данные'!$B:$B,B$77)</f>
        <v/>
      </c>
      <c r="C103" s="37">
        <f>SUMIFS('Данные'!$C:$C,'Данные'!$A:$A,"&gt;="&amp;(($E$3-WEEKDAY($E$3,2)+1-7*(WEEKDAY($E$3,2)&lt;7))-7*0),'Данные'!$A:$A,"&lt;"&amp;((($E$3-WEEKDAY($E$3,2)+1-7*(WEEKDAY($E$3,2)&lt;7))-7*0)+6)+1,'Данные'!$B:$B,C$77)</f>
        <v/>
      </c>
      <c r="D103" s="37">
        <f>SUMIFS('Данные'!$C:$C,'Данные'!$A:$A,"&gt;="&amp;(($E$3-WEEKDAY($E$3,2)+1-7*(WEEKDAY($E$3,2)&lt;7))-7*0),'Данные'!$A:$A,"&lt;"&amp;((($E$3-WEEKDAY($E$3,2)+1-7*(WEEKDAY($E$3,2)&lt;7))-7*0)+6)+1,'Данные'!$B:$B,D$77)</f>
        <v/>
      </c>
      <c r="E103" s="58">
        <f>SUM(B103:D103)</f>
        <v/>
      </c>
    </row>
    <row r="105">
      <c r="A105" s="9" t="inlineStr">
        <is>
          <t>🧭 Подписки по направлениям, по месяцам</t>
        </is>
      </c>
      <c r="D105" s="7" t="inlineStr">
        <is>
          <t>Тенденция:</t>
        </is>
      </c>
      <c r="E105" s="50">
        <f>IFERROR(SLOPE(E107:E118,{1;2;3;4;5;6;7;8;9;10;11;12})/AVERAGE(E107:E118),"")</f>
        <v/>
      </c>
      <c r="F105" s="4" t="inlineStr">
        <is>
          <t>в месяц</t>
        </is>
      </c>
    </row>
    <row r="106">
      <c r="A106" s="11" t="inlineStr">
        <is>
          <t>Месяц</t>
        </is>
      </c>
      <c r="B106" s="11">
        <f>'⚙ Настройки'!$A$2</f>
        <v/>
      </c>
      <c r="C106" s="11">
        <f>'⚙ Настройки'!$A$3</f>
        <v/>
      </c>
      <c r="D106" s="11">
        <f>'⚙ Настройки'!$A$4</f>
        <v/>
      </c>
      <c r="E106" s="11" t="inlineStr">
        <is>
          <t>Итого</t>
        </is>
      </c>
      <c r="F106" s="11" t="inlineStr">
        <is>
          <t>К прошлой</t>
        </is>
      </c>
    </row>
    <row r="107">
      <c r="A107" s="29">
        <f>CHOOSE(MONTH(EDATE(EDATE(DATE(YEAR($E$3),MONTH($E$3),1),-($E$3&lt;EOMONTH($E$3,0))),-11)),"Январь","Февраль","Март","Апрель","Май","Июнь","Июль","Август","Сентябрь","Октябрь","Ноябрь","Декабрь")&amp;" "&amp;YEAR(EDATE(EDATE(DATE(YEAR($E$3),MONTH($E$3),1),-($E$3&lt;EOMONTH($E$3,0))),-11))</f>
        <v/>
      </c>
      <c r="B107" s="31">
        <f>SUMIFS('Данные'!$F:$F,'Данные'!$A:$A,"&gt;="&amp;EDATE(EDATE(DATE(YEAR($E$3),MONTH($E$3),1),-($E$3&lt;EOMONTH($E$3,0))),-11),'Данные'!$A:$A,"&lt;"&amp;EOMONTH(EDATE(EDATE(DATE(YEAR($E$3),MONTH($E$3),1),-($E$3&lt;EOMONTH($E$3,0))),-11),0)+1,'Данные'!$B:$B,B$106)</f>
        <v/>
      </c>
      <c r="C107" s="31">
        <f>SUMIFS('Данные'!$F:$F,'Данные'!$A:$A,"&gt;="&amp;EDATE(EDATE(DATE(YEAR($E$3),MONTH($E$3),1),-($E$3&lt;EOMONTH($E$3,0))),-11),'Данные'!$A:$A,"&lt;"&amp;EOMONTH(EDATE(EDATE(DATE(YEAR($E$3),MONTH($E$3),1),-($E$3&lt;EOMONTH($E$3,0))),-11),0)+1,'Данные'!$B:$B,C$106)</f>
        <v/>
      </c>
      <c r="D107" s="31">
        <f>SUMIFS('Данные'!$F:$F,'Данные'!$A:$A,"&gt;="&amp;EDATE(EDATE(DATE(YEAR($E$3),MONTH($E$3),1),-($E$3&lt;EOMONTH($E$3,0))),-11),'Данные'!$A:$A,"&lt;"&amp;EOMONTH(EDATE(EDATE(DATE(YEAR($E$3),MONTH($E$3),1),-($E$3&lt;EOMONTH($E$3,0))),-11),0)+1,'Данные'!$B:$B,D$106)</f>
        <v/>
      </c>
      <c r="E107" s="51">
        <f>SUM(B107:D107)</f>
        <v/>
      </c>
      <c r="F107" s="52" t="n"/>
    </row>
    <row r="108">
      <c r="A108" s="36">
        <f>CHOOSE(MONTH(EDATE(EDATE(DATE(YEAR($E$3),MONTH($E$3),1),-($E$3&lt;EOMONTH($E$3,0))),-10)),"Январь","Февраль","Март","Апрель","Май","Июнь","Июль","Август","Сентябрь","Октябрь","Ноябрь","Декабрь")&amp;" "&amp;YEAR(EDATE(EDATE(DATE(YEAR($E$3),MONTH($E$3),1),-($E$3&lt;EOMONTH($E$3,0))),-10))</f>
        <v/>
      </c>
      <c r="B108" s="38">
        <f>SUMIFS('Данные'!$F:$F,'Данные'!$A:$A,"&gt;="&amp;EDATE(EDATE(DATE(YEAR($E$3),MONTH($E$3),1),-($E$3&lt;EOMONTH($E$3,0))),-10),'Данные'!$A:$A,"&lt;"&amp;EOMONTH(EDATE(EDATE(DATE(YEAR($E$3),MONTH($E$3),1),-($E$3&lt;EOMONTH($E$3,0))),-10),0)+1,'Данные'!$B:$B,B$106)</f>
        <v/>
      </c>
      <c r="C108" s="38">
        <f>SUMIFS('Данные'!$F:$F,'Данные'!$A:$A,"&gt;="&amp;EDATE(EDATE(DATE(YEAR($E$3),MONTH($E$3),1),-($E$3&lt;EOMONTH($E$3,0))),-10),'Данные'!$A:$A,"&lt;"&amp;EOMONTH(EDATE(EDATE(DATE(YEAR($E$3),MONTH($E$3),1),-($E$3&lt;EOMONTH($E$3,0))),-10),0)+1,'Данные'!$B:$B,C$106)</f>
        <v/>
      </c>
      <c r="D108" s="38">
        <f>SUMIFS('Данные'!$F:$F,'Данные'!$A:$A,"&gt;="&amp;EDATE(EDATE(DATE(YEAR($E$3),MONTH($E$3),1),-($E$3&lt;EOMONTH($E$3,0))),-10),'Данные'!$A:$A,"&lt;"&amp;EOMONTH(EDATE(EDATE(DATE(YEAR($E$3),MONTH($E$3),1),-($E$3&lt;EOMONTH($E$3,0))),-10),0)+1,'Данные'!$B:$B,D$106)</f>
        <v/>
      </c>
      <c r="E108" s="53">
        <f>SUM(B108:D108)</f>
        <v/>
      </c>
      <c r="F108" s="54">
        <f>IFERROR(E108/E107-1,"")</f>
        <v/>
      </c>
    </row>
    <row r="109">
      <c r="A109" s="29">
        <f>CHOOSE(MONTH(EDATE(EDATE(DATE(YEAR($E$3),MONTH($E$3),1),-($E$3&lt;EOMONTH($E$3,0))),-9)),"Январь","Февраль","Март","Апрель","Май","Июнь","Июль","Август","Сентябрь","Октябрь","Ноябрь","Декабрь")&amp;" "&amp;YEAR(EDATE(EDATE(DATE(YEAR($E$3),MONTH($E$3),1),-($E$3&lt;EOMONTH($E$3,0))),-9))</f>
        <v/>
      </c>
      <c r="B109" s="31">
        <f>SUMIFS('Данные'!$F:$F,'Данные'!$A:$A,"&gt;="&amp;EDATE(EDATE(DATE(YEAR($E$3),MONTH($E$3),1),-($E$3&lt;EOMONTH($E$3,0))),-9),'Данные'!$A:$A,"&lt;"&amp;EOMONTH(EDATE(EDATE(DATE(YEAR($E$3),MONTH($E$3),1),-($E$3&lt;EOMONTH($E$3,0))),-9),0)+1,'Данные'!$B:$B,B$106)</f>
        <v/>
      </c>
      <c r="C109" s="31">
        <f>SUMIFS('Данные'!$F:$F,'Данные'!$A:$A,"&gt;="&amp;EDATE(EDATE(DATE(YEAR($E$3),MONTH($E$3),1),-($E$3&lt;EOMONTH($E$3,0))),-9),'Данные'!$A:$A,"&lt;"&amp;EOMONTH(EDATE(EDATE(DATE(YEAR($E$3),MONTH($E$3),1),-($E$3&lt;EOMONTH($E$3,0))),-9),0)+1,'Данные'!$B:$B,C$106)</f>
        <v/>
      </c>
      <c r="D109" s="31">
        <f>SUMIFS('Данные'!$F:$F,'Данные'!$A:$A,"&gt;="&amp;EDATE(EDATE(DATE(YEAR($E$3),MONTH($E$3),1),-($E$3&lt;EOMONTH($E$3,0))),-9),'Данные'!$A:$A,"&lt;"&amp;EOMONTH(EDATE(EDATE(DATE(YEAR($E$3),MONTH($E$3),1),-($E$3&lt;EOMONTH($E$3,0))),-9),0)+1,'Данные'!$B:$B,D$106)</f>
        <v/>
      </c>
      <c r="E109" s="51">
        <f>SUM(B109:D109)</f>
        <v/>
      </c>
      <c r="F109" s="52">
        <f>IFERROR(E109/E108-1,"")</f>
        <v/>
      </c>
    </row>
    <row r="110">
      <c r="A110" s="36">
        <f>CHOOSE(MONTH(EDATE(EDATE(DATE(YEAR($E$3),MONTH($E$3),1),-($E$3&lt;EOMONTH($E$3,0))),-8)),"Январь","Февраль","Март","Апрель","Май","Июнь","Июль","Август","Сентябрь","Октябрь","Ноябрь","Декабрь")&amp;" "&amp;YEAR(EDATE(EDATE(DATE(YEAR($E$3),MONTH($E$3),1),-($E$3&lt;EOMONTH($E$3,0))),-8))</f>
        <v/>
      </c>
      <c r="B110" s="38">
        <f>SUMIFS('Данные'!$F:$F,'Данные'!$A:$A,"&gt;="&amp;EDATE(EDATE(DATE(YEAR($E$3),MONTH($E$3),1),-($E$3&lt;EOMONTH($E$3,0))),-8),'Данные'!$A:$A,"&lt;"&amp;EOMONTH(EDATE(EDATE(DATE(YEAR($E$3),MONTH($E$3),1),-($E$3&lt;EOMONTH($E$3,0))),-8),0)+1,'Данные'!$B:$B,B$106)</f>
        <v/>
      </c>
      <c r="C110" s="38">
        <f>SUMIFS('Данные'!$F:$F,'Данные'!$A:$A,"&gt;="&amp;EDATE(EDATE(DATE(YEAR($E$3),MONTH($E$3),1),-($E$3&lt;EOMONTH($E$3,0))),-8),'Данные'!$A:$A,"&lt;"&amp;EOMONTH(EDATE(EDATE(DATE(YEAR($E$3),MONTH($E$3),1),-($E$3&lt;EOMONTH($E$3,0))),-8),0)+1,'Данные'!$B:$B,C$106)</f>
        <v/>
      </c>
      <c r="D110" s="38">
        <f>SUMIFS('Данные'!$F:$F,'Данные'!$A:$A,"&gt;="&amp;EDATE(EDATE(DATE(YEAR($E$3),MONTH($E$3),1),-($E$3&lt;EOMONTH($E$3,0))),-8),'Данные'!$A:$A,"&lt;"&amp;EOMONTH(EDATE(EDATE(DATE(YEAR($E$3),MONTH($E$3),1),-($E$3&lt;EOMONTH($E$3,0))),-8),0)+1,'Данные'!$B:$B,D$106)</f>
        <v/>
      </c>
      <c r="E110" s="53">
        <f>SUM(B110:D110)</f>
        <v/>
      </c>
      <c r="F110" s="54">
        <f>IFERROR(E110/E109-1,"")</f>
        <v/>
      </c>
    </row>
    <row r="111">
      <c r="A111" s="29">
        <f>CHOOSE(MONTH(EDATE(EDATE(DATE(YEAR($E$3),MONTH($E$3),1),-($E$3&lt;EOMONTH($E$3,0))),-7)),"Январь","Февраль","Март","Апрель","Май","Июнь","Июль","Август","Сентябрь","Октябрь","Ноябрь","Декабрь")&amp;" "&amp;YEAR(EDATE(EDATE(DATE(YEAR($E$3),MONTH($E$3),1),-($E$3&lt;EOMONTH($E$3,0))),-7))</f>
        <v/>
      </c>
      <c r="B111" s="31">
        <f>SUMIFS('Данные'!$F:$F,'Данные'!$A:$A,"&gt;="&amp;EDATE(EDATE(DATE(YEAR($E$3),MONTH($E$3),1),-($E$3&lt;EOMONTH($E$3,0))),-7),'Данные'!$A:$A,"&lt;"&amp;EOMONTH(EDATE(EDATE(DATE(YEAR($E$3),MONTH($E$3),1),-($E$3&lt;EOMONTH($E$3,0))),-7),0)+1,'Данные'!$B:$B,B$106)</f>
        <v/>
      </c>
      <c r="C111" s="31">
        <f>SUMIFS('Данные'!$F:$F,'Данные'!$A:$A,"&gt;="&amp;EDATE(EDATE(DATE(YEAR($E$3),MONTH($E$3),1),-($E$3&lt;EOMONTH($E$3,0))),-7),'Данные'!$A:$A,"&lt;"&amp;EOMONTH(EDATE(EDATE(DATE(YEAR($E$3),MONTH($E$3),1),-($E$3&lt;EOMONTH($E$3,0))),-7),0)+1,'Данные'!$B:$B,C$106)</f>
        <v/>
      </c>
      <c r="D111" s="31">
        <f>SUMIFS('Данные'!$F:$F,'Данные'!$A:$A,"&gt;="&amp;EDATE(EDATE(DATE(YEAR($E$3),MONTH($E$3),1),-($E$3&lt;EOMONTH($E$3,0))),-7),'Данные'!$A:$A,"&lt;"&amp;EOMONTH(EDATE(EDATE(DATE(YEAR($E$3),MONTH($E$3),1),-($E$3&lt;EOMONTH($E$3,0))),-7),0)+1,'Данные'!$B:$B,D$106)</f>
        <v/>
      </c>
      <c r="E111" s="51">
        <f>SUM(B111:D111)</f>
        <v/>
      </c>
      <c r="F111" s="52">
        <f>IFERROR(E111/E110-1,"")</f>
        <v/>
      </c>
    </row>
    <row r="112">
      <c r="A112" s="36">
        <f>CHOOSE(MONTH(EDATE(EDATE(DATE(YEAR($E$3),MONTH($E$3),1),-($E$3&lt;EOMONTH($E$3,0))),-6)),"Январь","Февраль","Март","Апрель","Май","Июнь","Июль","Август","Сентябрь","Октябрь","Ноябрь","Декабрь")&amp;" "&amp;YEAR(EDATE(EDATE(DATE(YEAR($E$3),MONTH($E$3),1),-($E$3&lt;EOMONTH($E$3,0))),-6))</f>
        <v/>
      </c>
      <c r="B112" s="38">
        <f>SUMIFS('Данные'!$F:$F,'Данные'!$A:$A,"&gt;="&amp;EDATE(EDATE(DATE(YEAR($E$3),MONTH($E$3),1),-($E$3&lt;EOMONTH($E$3,0))),-6),'Данные'!$A:$A,"&lt;"&amp;EOMONTH(EDATE(EDATE(DATE(YEAR($E$3),MONTH($E$3),1),-($E$3&lt;EOMONTH($E$3,0))),-6),0)+1,'Данные'!$B:$B,B$106)</f>
        <v/>
      </c>
      <c r="C112" s="38">
        <f>SUMIFS('Данные'!$F:$F,'Данные'!$A:$A,"&gt;="&amp;EDATE(EDATE(DATE(YEAR($E$3),MONTH($E$3),1),-($E$3&lt;EOMONTH($E$3,0))),-6),'Данные'!$A:$A,"&lt;"&amp;EOMONTH(EDATE(EDATE(DATE(YEAR($E$3),MONTH($E$3),1),-($E$3&lt;EOMONTH($E$3,0))),-6),0)+1,'Данные'!$B:$B,C$106)</f>
        <v/>
      </c>
      <c r="D112" s="38">
        <f>SUMIFS('Данные'!$F:$F,'Данные'!$A:$A,"&gt;="&amp;EDATE(EDATE(DATE(YEAR($E$3),MONTH($E$3),1),-($E$3&lt;EOMONTH($E$3,0))),-6),'Данные'!$A:$A,"&lt;"&amp;EOMONTH(EDATE(EDATE(DATE(YEAR($E$3),MONTH($E$3),1),-($E$3&lt;EOMONTH($E$3,0))),-6),0)+1,'Данные'!$B:$B,D$106)</f>
        <v/>
      </c>
      <c r="E112" s="53">
        <f>SUM(B112:D112)</f>
        <v/>
      </c>
      <c r="F112" s="54">
        <f>IFERROR(E112/E111-1,"")</f>
        <v/>
      </c>
    </row>
    <row r="113">
      <c r="A113" s="29">
        <f>CHOOSE(MONTH(EDATE(EDATE(DATE(YEAR($E$3),MONTH($E$3),1),-($E$3&lt;EOMONTH($E$3,0))),-5)),"Январь","Февраль","Март","Апрель","Май","Июнь","Июль","Август","Сентябрь","Октябрь","Ноябрь","Декабрь")&amp;" "&amp;YEAR(EDATE(EDATE(DATE(YEAR($E$3),MONTH($E$3),1),-($E$3&lt;EOMONTH($E$3,0))),-5))</f>
        <v/>
      </c>
      <c r="B113" s="31">
        <f>SUMIFS('Данные'!$F:$F,'Данные'!$A:$A,"&gt;="&amp;EDATE(EDATE(DATE(YEAR($E$3),MONTH($E$3),1),-($E$3&lt;EOMONTH($E$3,0))),-5),'Данные'!$A:$A,"&lt;"&amp;EOMONTH(EDATE(EDATE(DATE(YEAR($E$3),MONTH($E$3),1),-($E$3&lt;EOMONTH($E$3,0))),-5),0)+1,'Данные'!$B:$B,B$106)</f>
        <v/>
      </c>
      <c r="C113" s="31">
        <f>SUMIFS('Данные'!$F:$F,'Данные'!$A:$A,"&gt;="&amp;EDATE(EDATE(DATE(YEAR($E$3),MONTH($E$3),1),-($E$3&lt;EOMONTH($E$3,0))),-5),'Данные'!$A:$A,"&lt;"&amp;EOMONTH(EDATE(EDATE(DATE(YEAR($E$3),MONTH($E$3),1),-($E$3&lt;EOMONTH($E$3,0))),-5),0)+1,'Данные'!$B:$B,C$106)</f>
        <v/>
      </c>
      <c r="D113" s="31">
        <f>SUMIFS('Данные'!$F:$F,'Данные'!$A:$A,"&gt;="&amp;EDATE(EDATE(DATE(YEAR($E$3),MONTH($E$3),1),-($E$3&lt;EOMONTH($E$3,0))),-5),'Данные'!$A:$A,"&lt;"&amp;EOMONTH(EDATE(EDATE(DATE(YEAR($E$3),MONTH($E$3),1),-($E$3&lt;EOMONTH($E$3,0))),-5),0)+1,'Данные'!$B:$B,D$106)</f>
        <v/>
      </c>
      <c r="E113" s="51">
        <f>SUM(B113:D113)</f>
        <v/>
      </c>
      <c r="F113" s="52">
        <f>IFERROR(E113/E112-1,"")</f>
        <v/>
      </c>
    </row>
    <row r="114">
      <c r="A114" s="36">
        <f>CHOOSE(MONTH(EDATE(EDATE(DATE(YEAR($E$3),MONTH($E$3),1),-($E$3&lt;EOMONTH($E$3,0))),-4)),"Январь","Февраль","Март","Апрель","Май","Июнь","Июль","Август","Сентябрь","Октябрь","Ноябрь","Декабрь")&amp;" "&amp;YEAR(EDATE(EDATE(DATE(YEAR($E$3),MONTH($E$3),1),-($E$3&lt;EOMONTH($E$3,0))),-4))</f>
        <v/>
      </c>
      <c r="B114" s="38">
        <f>SUMIFS('Данные'!$F:$F,'Данные'!$A:$A,"&gt;="&amp;EDATE(EDATE(DATE(YEAR($E$3),MONTH($E$3),1),-($E$3&lt;EOMONTH($E$3,0))),-4),'Данные'!$A:$A,"&lt;"&amp;EOMONTH(EDATE(EDATE(DATE(YEAR($E$3),MONTH($E$3),1),-($E$3&lt;EOMONTH($E$3,0))),-4),0)+1,'Данные'!$B:$B,B$106)</f>
        <v/>
      </c>
      <c r="C114" s="38">
        <f>SUMIFS('Данные'!$F:$F,'Данные'!$A:$A,"&gt;="&amp;EDATE(EDATE(DATE(YEAR($E$3),MONTH($E$3),1),-($E$3&lt;EOMONTH($E$3,0))),-4),'Данные'!$A:$A,"&lt;"&amp;EOMONTH(EDATE(EDATE(DATE(YEAR($E$3),MONTH($E$3),1),-($E$3&lt;EOMONTH($E$3,0))),-4),0)+1,'Данные'!$B:$B,C$106)</f>
        <v/>
      </c>
      <c r="D114" s="38">
        <f>SUMIFS('Данные'!$F:$F,'Данные'!$A:$A,"&gt;="&amp;EDATE(EDATE(DATE(YEAR($E$3),MONTH($E$3),1),-($E$3&lt;EOMONTH($E$3,0))),-4),'Данные'!$A:$A,"&lt;"&amp;EOMONTH(EDATE(EDATE(DATE(YEAR($E$3),MONTH($E$3),1),-($E$3&lt;EOMONTH($E$3,0))),-4),0)+1,'Данные'!$B:$B,D$106)</f>
        <v/>
      </c>
      <c r="E114" s="53">
        <f>SUM(B114:D114)</f>
        <v/>
      </c>
      <c r="F114" s="54">
        <f>IFERROR(E114/E113-1,"")</f>
        <v/>
      </c>
    </row>
    <row r="115">
      <c r="A115" s="29">
        <f>CHOOSE(MONTH(EDATE(EDATE(DATE(YEAR($E$3),MONTH($E$3),1),-($E$3&lt;EOMONTH($E$3,0))),-3)),"Январь","Февраль","Март","Апрель","Май","Июнь","Июль","Август","Сентябрь","Октябрь","Ноябрь","Декабрь")&amp;" "&amp;YEAR(EDATE(EDATE(DATE(YEAR($E$3),MONTH($E$3),1),-($E$3&lt;EOMONTH($E$3,0))),-3))</f>
        <v/>
      </c>
      <c r="B115" s="31">
        <f>SUMIFS('Данные'!$F:$F,'Данные'!$A:$A,"&gt;="&amp;EDATE(EDATE(DATE(YEAR($E$3),MONTH($E$3),1),-($E$3&lt;EOMONTH($E$3,0))),-3),'Данные'!$A:$A,"&lt;"&amp;EOMONTH(EDATE(EDATE(DATE(YEAR($E$3),MONTH($E$3),1),-($E$3&lt;EOMONTH($E$3,0))),-3),0)+1,'Данные'!$B:$B,B$106)</f>
        <v/>
      </c>
      <c r="C115" s="31">
        <f>SUMIFS('Данные'!$F:$F,'Данные'!$A:$A,"&gt;="&amp;EDATE(EDATE(DATE(YEAR($E$3),MONTH($E$3),1),-($E$3&lt;EOMONTH($E$3,0))),-3),'Данные'!$A:$A,"&lt;"&amp;EOMONTH(EDATE(EDATE(DATE(YEAR($E$3),MONTH($E$3),1),-($E$3&lt;EOMONTH($E$3,0))),-3),0)+1,'Данные'!$B:$B,C$106)</f>
        <v/>
      </c>
      <c r="D115" s="31">
        <f>SUMIFS('Данные'!$F:$F,'Данные'!$A:$A,"&gt;="&amp;EDATE(EDATE(DATE(YEAR($E$3),MONTH($E$3),1),-($E$3&lt;EOMONTH($E$3,0))),-3),'Данные'!$A:$A,"&lt;"&amp;EOMONTH(EDATE(EDATE(DATE(YEAR($E$3),MONTH($E$3),1),-($E$3&lt;EOMONTH($E$3,0))),-3),0)+1,'Данные'!$B:$B,D$106)</f>
        <v/>
      </c>
      <c r="E115" s="51">
        <f>SUM(B115:D115)</f>
        <v/>
      </c>
      <c r="F115" s="52">
        <f>IFERROR(E115/E114-1,"")</f>
        <v/>
      </c>
    </row>
    <row r="116">
      <c r="A116" s="36">
        <f>CHOOSE(MONTH(EDATE(EDATE(DATE(YEAR($E$3),MONTH($E$3),1),-($E$3&lt;EOMONTH($E$3,0))),-2)),"Январь","Февраль","Март","Апрель","Май","Июнь","Июль","Август","Сентябрь","Октябрь","Ноябрь","Декабрь")&amp;" "&amp;YEAR(EDATE(EDATE(DATE(YEAR($E$3),MONTH($E$3),1),-($E$3&lt;EOMONTH($E$3,0))),-2))</f>
        <v/>
      </c>
      <c r="B116" s="38">
        <f>SUMIFS('Данные'!$F:$F,'Данные'!$A:$A,"&gt;="&amp;EDATE(EDATE(DATE(YEAR($E$3),MONTH($E$3),1),-($E$3&lt;EOMONTH($E$3,0))),-2),'Данные'!$A:$A,"&lt;"&amp;EOMONTH(EDATE(EDATE(DATE(YEAR($E$3),MONTH($E$3),1),-($E$3&lt;EOMONTH($E$3,0))),-2),0)+1,'Данные'!$B:$B,B$106)</f>
        <v/>
      </c>
      <c r="C116" s="38">
        <f>SUMIFS('Данные'!$F:$F,'Данные'!$A:$A,"&gt;="&amp;EDATE(EDATE(DATE(YEAR($E$3),MONTH($E$3),1),-($E$3&lt;EOMONTH($E$3,0))),-2),'Данные'!$A:$A,"&lt;"&amp;EOMONTH(EDATE(EDATE(DATE(YEAR($E$3),MONTH($E$3),1),-($E$3&lt;EOMONTH($E$3,0))),-2),0)+1,'Данные'!$B:$B,C$106)</f>
        <v/>
      </c>
      <c r="D116" s="38">
        <f>SUMIFS('Данные'!$F:$F,'Данные'!$A:$A,"&gt;="&amp;EDATE(EDATE(DATE(YEAR($E$3),MONTH($E$3),1),-($E$3&lt;EOMONTH($E$3,0))),-2),'Данные'!$A:$A,"&lt;"&amp;EOMONTH(EDATE(EDATE(DATE(YEAR($E$3),MONTH($E$3),1),-($E$3&lt;EOMONTH($E$3,0))),-2),0)+1,'Данные'!$B:$B,D$106)</f>
        <v/>
      </c>
      <c r="E116" s="53">
        <f>SUM(B116:D116)</f>
        <v/>
      </c>
      <c r="F116" s="54">
        <f>IFERROR(E116/E115-1,"")</f>
        <v/>
      </c>
    </row>
    <row r="117">
      <c r="A117" s="29">
        <f>CHOOSE(MONTH(EDATE(EDATE(DATE(YEAR($E$3),MONTH($E$3),1),-($E$3&lt;EOMONTH($E$3,0))),-1)),"Январь","Февраль","Март","Апрель","Май","Июнь","Июль","Август","Сентябрь","Октябрь","Ноябрь","Декабрь")&amp;" "&amp;YEAR(EDATE(EDATE(DATE(YEAR($E$3),MONTH($E$3),1),-($E$3&lt;EOMONTH($E$3,0))),-1))</f>
        <v/>
      </c>
      <c r="B117" s="31">
        <f>SUMIFS('Данные'!$F:$F,'Данные'!$A:$A,"&gt;="&amp;EDATE(EDATE(DATE(YEAR($E$3),MONTH($E$3),1),-($E$3&lt;EOMONTH($E$3,0))),-1),'Данные'!$A:$A,"&lt;"&amp;EOMONTH(EDATE(EDATE(DATE(YEAR($E$3),MONTH($E$3),1),-($E$3&lt;EOMONTH($E$3,0))),-1),0)+1,'Данные'!$B:$B,B$106)</f>
        <v/>
      </c>
      <c r="C117" s="31">
        <f>SUMIFS('Данные'!$F:$F,'Данные'!$A:$A,"&gt;="&amp;EDATE(EDATE(DATE(YEAR($E$3),MONTH($E$3),1),-($E$3&lt;EOMONTH($E$3,0))),-1),'Данные'!$A:$A,"&lt;"&amp;EOMONTH(EDATE(EDATE(DATE(YEAR($E$3),MONTH($E$3),1),-($E$3&lt;EOMONTH($E$3,0))),-1),0)+1,'Данные'!$B:$B,C$106)</f>
        <v/>
      </c>
      <c r="D117" s="31">
        <f>SUMIFS('Данные'!$F:$F,'Данные'!$A:$A,"&gt;="&amp;EDATE(EDATE(DATE(YEAR($E$3),MONTH($E$3),1),-($E$3&lt;EOMONTH($E$3,0))),-1),'Данные'!$A:$A,"&lt;"&amp;EOMONTH(EDATE(EDATE(DATE(YEAR($E$3),MONTH($E$3),1),-($E$3&lt;EOMONTH($E$3,0))),-1),0)+1,'Данные'!$B:$B,D$106)</f>
        <v/>
      </c>
      <c r="E117" s="51">
        <f>SUM(B117:D117)</f>
        <v/>
      </c>
      <c r="F117" s="52">
        <f>IFERROR(E117/E116-1,"")</f>
        <v/>
      </c>
    </row>
    <row r="118">
      <c r="A118" s="36">
        <f>CHOOSE(MONTH(EDATE(EDATE(DATE(YEAR($E$3),MONTH($E$3),1),-($E$3&lt;EOMONTH($E$3,0))),0)),"Январь","Февраль","Март","Апрель","Май","Июнь","Июль","Август","Сентябрь","Октябрь","Ноябрь","Декабрь")&amp;" "&amp;YEAR(EDATE(EDATE(DATE(YEAR($E$3),MONTH($E$3),1),-($E$3&lt;EOMONTH($E$3,0))),0))</f>
        <v/>
      </c>
      <c r="B118" s="38">
        <f>SUMIFS('Данные'!$F:$F,'Данные'!$A:$A,"&gt;="&amp;EDATE(EDATE(DATE(YEAR($E$3),MONTH($E$3),1),-($E$3&lt;EOMONTH($E$3,0))),0),'Данные'!$A:$A,"&lt;"&amp;EOMONTH(EDATE(EDATE(DATE(YEAR($E$3),MONTH($E$3),1),-($E$3&lt;EOMONTH($E$3,0))),0),0)+1,'Данные'!$B:$B,B$106)</f>
        <v/>
      </c>
      <c r="C118" s="38">
        <f>SUMIFS('Данные'!$F:$F,'Данные'!$A:$A,"&gt;="&amp;EDATE(EDATE(DATE(YEAR($E$3),MONTH($E$3),1),-($E$3&lt;EOMONTH($E$3,0))),0),'Данные'!$A:$A,"&lt;"&amp;EOMONTH(EDATE(EDATE(DATE(YEAR($E$3),MONTH($E$3),1),-($E$3&lt;EOMONTH($E$3,0))),0),0)+1,'Данные'!$B:$B,C$106)</f>
        <v/>
      </c>
      <c r="D118" s="38">
        <f>SUMIFS('Данные'!$F:$F,'Данные'!$A:$A,"&gt;="&amp;EDATE(EDATE(DATE(YEAR($E$3),MONTH($E$3),1),-($E$3&lt;EOMONTH($E$3,0))),0),'Данные'!$A:$A,"&lt;"&amp;EOMONTH(EDATE(EDATE(DATE(YEAR($E$3),MONTH($E$3),1),-($E$3&lt;EOMONTH($E$3,0))),0),0)+1,'Данные'!$B:$B,D$106)</f>
        <v/>
      </c>
      <c r="E118" s="53">
        <f>SUM(B118:D118)</f>
        <v/>
      </c>
      <c r="F118" s="54">
        <f>IFERROR(E118/E117-1,"")</f>
        <v/>
      </c>
    </row>
    <row r="120">
      <c r="A120" s="9" t="inlineStr">
        <is>
          <t>Цена подписки по направлениям, по месяцам</t>
        </is>
      </c>
    </row>
    <row r="121">
      <c r="A121" s="11" t="inlineStr">
        <is>
          <t>Месяц</t>
        </is>
      </c>
      <c r="B121" s="11">
        <f>'⚙ Настройки'!$A$2</f>
        <v/>
      </c>
      <c r="C121" s="11">
        <f>'⚙ Настройки'!$A$3</f>
        <v/>
      </c>
      <c r="D121" s="11">
        <f>'⚙ Настройки'!$A$4</f>
        <v/>
      </c>
      <c r="E121" s="11" t="inlineStr">
        <is>
          <t>Итого</t>
        </is>
      </c>
    </row>
    <row r="122">
      <c r="A122" s="29">
        <f>CHOOSE(MONTH(EDATE(EDATE(DATE(YEAR($E$3),MONTH($E$3),1),-($E$3&lt;EOMONTH($E$3,0))),-11)),"Январь","Февраль","Март","Апрель","Май","Июнь","Июль","Август","Сентябрь","Октябрь","Ноябрь","Декабрь")&amp;" "&amp;YEAR(EDATE(EDATE(DATE(YEAR($E$3),MONTH($E$3),1),-($E$3&lt;EOMONTH($E$3,0))),-11))</f>
        <v/>
      </c>
      <c r="B122" s="33">
        <f>IFERROR(B137/B107,"")</f>
        <v/>
      </c>
      <c r="C122" s="33">
        <f>IFERROR(C137/C107,"")</f>
        <v/>
      </c>
      <c r="D122" s="33">
        <f>IFERROR(D137/D107,"")</f>
        <v/>
      </c>
      <c r="E122" s="55">
        <f>IFERROR(E137/E107,"")</f>
        <v/>
      </c>
    </row>
    <row r="123">
      <c r="A123" s="36">
        <f>CHOOSE(MONTH(EDATE(EDATE(DATE(YEAR($E$3),MONTH($E$3),1),-($E$3&lt;EOMONTH($E$3,0))),-10)),"Январь","Февраль","Март","Апрель","Май","Июнь","Июль","Август","Сентябрь","Октябрь","Ноябрь","Декабрь")&amp;" "&amp;YEAR(EDATE(EDATE(DATE(YEAR($E$3),MONTH($E$3),1),-($E$3&lt;EOMONTH($E$3,0))),-10))</f>
        <v/>
      </c>
      <c r="B123" s="40">
        <f>IFERROR(B138/B108,"")</f>
        <v/>
      </c>
      <c r="C123" s="40">
        <f>IFERROR(C138/C108,"")</f>
        <v/>
      </c>
      <c r="D123" s="40">
        <f>IFERROR(D138/D108,"")</f>
        <v/>
      </c>
      <c r="E123" s="56">
        <f>IFERROR(E138/E108,"")</f>
        <v/>
      </c>
    </row>
    <row r="124">
      <c r="A124" s="29">
        <f>CHOOSE(MONTH(EDATE(EDATE(DATE(YEAR($E$3),MONTH($E$3),1),-($E$3&lt;EOMONTH($E$3,0))),-9)),"Январь","Февраль","Март","Апрель","Май","Июнь","Июль","Август","Сентябрь","Октябрь","Ноябрь","Декабрь")&amp;" "&amp;YEAR(EDATE(EDATE(DATE(YEAR($E$3),MONTH($E$3),1),-($E$3&lt;EOMONTH($E$3,0))),-9))</f>
        <v/>
      </c>
      <c r="B124" s="33">
        <f>IFERROR(B139/B109,"")</f>
        <v/>
      </c>
      <c r="C124" s="33">
        <f>IFERROR(C139/C109,"")</f>
        <v/>
      </c>
      <c r="D124" s="33">
        <f>IFERROR(D139/D109,"")</f>
        <v/>
      </c>
      <c r="E124" s="55">
        <f>IFERROR(E139/E109,"")</f>
        <v/>
      </c>
    </row>
    <row r="125">
      <c r="A125" s="36">
        <f>CHOOSE(MONTH(EDATE(EDATE(DATE(YEAR($E$3),MONTH($E$3),1),-($E$3&lt;EOMONTH($E$3,0))),-8)),"Январь","Февраль","Март","Апрель","Май","Июнь","Июль","Август","Сентябрь","Октябрь","Ноябрь","Декабрь")&amp;" "&amp;YEAR(EDATE(EDATE(DATE(YEAR($E$3),MONTH($E$3),1),-($E$3&lt;EOMONTH($E$3,0))),-8))</f>
        <v/>
      </c>
      <c r="B125" s="40">
        <f>IFERROR(B140/B110,"")</f>
        <v/>
      </c>
      <c r="C125" s="40">
        <f>IFERROR(C140/C110,"")</f>
        <v/>
      </c>
      <c r="D125" s="40">
        <f>IFERROR(D140/D110,"")</f>
        <v/>
      </c>
      <c r="E125" s="56">
        <f>IFERROR(E140/E110,"")</f>
        <v/>
      </c>
    </row>
    <row r="126">
      <c r="A126" s="29">
        <f>CHOOSE(MONTH(EDATE(EDATE(DATE(YEAR($E$3),MONTH($E$3),1),-($E$3&lt;EOMONTH($E$3,0))),-7)),"Январь","Февраль","Март","Апрель","Май","Июнь","Июль","Август","Сентябрь","Октябрь","Ноябрь","Декабрь")&amp;" "&amp;YEAR(EDATE(EDATE(DATE(YEAR($E$3),MONTH($E$3),1),-($E$3&lt;EOMONTH($E$3,0))),-7))</f>
        <v/>
      </c>
      <c r="B126" s="33">
        <f>IFERROR(B141/B111,"")</f>
        <v/>
      </c>
      <c r="C126" s="33">
        <f>IFERROR(C141/C111,"")</f>
        <v/>
      </c>
      <c r="D126" s="33">
        <f>IFERROR(D141/D111,"")</f>
        <v/>
      </c>
      <c r="E126" s="55">
        <f>IFERROR(E141/E111,"")</f>
        <v/>
      </c>
    </row>
    <row r="127">
      <c r="A127" s="36">
        <f>CHOOSE(MONTH(EDATE(EDATE(DATE(YEAR($E$3),MONTH($E$3),1),-($E$3&lt;EOMONTH($E$3,0))),-6)),"Январь","Февраль","Март","Апрель","Май","Июнь","Июль","Август","Сентябрь","Октябрь","Ноябрь","Декабрь")&amp;" "&amp;YEAR(EDATE(EDATE(DATE(YEAR($E$3),MONTH($E$3),1),-($E$3&lt;EOMONTH($E$3,0))),-6))</f>
        <v/>
      </c>
      <c r="B127" s="40">
        <f>IFERROR(B142/B112,"")</f>
        <v/>
      </c>
      <c r="C127" s="40">
        <f>IFERROR(C142/C112,"")</f>
        <v/>
      </c>
      <c r="D127" s="40">
        <f>IFERROR(D142/D112,"")</f>
        <v/>
      </c>
      <c r="E127" s="56">
        <f>IFERROR(E142/E112,"")</f>
        <v/>
      </c>
    </row>
    <row r="128">
      <c r="A128" s="29">
        <f>CHOOSE(MONTH(EDATE(EDATE(DATE(YEAR($E$3),MONTH($E$3),1),-($E$3&lt;EOMONTH($E$3,0))),-5)),"Январь","Февраль","Март","Апрель","Май","Июнь","Июль","Август","Сентябрь","Октябрь","Ноябрь","Декабрь")&amp;" "&amp;YEAR(EDATE(EDATE(DATE(YEAR($E$3),MONTH($E$3),1),-($E$3&lt;EOMONTH($E$3,0))),-5))</f>
        <v/>
      </c>
      <c r="B128" s="33">
        <f>IFERROR(B143/B113,"")</f>
        <v/>
      </c>
      <c r="C128" s="33">
        <f>IFERROR(C143/C113,"")</f>
        <v/>
      </c>
      <c r="D128" s="33">
        <f>IFERROR(D143/D113,"")</f>
        <v/>
      </c>
      <c r="E128" s="55">
        <f>IFERROR(E143/E113,"")</f>
        <v/>
      </c>
    </row>
    <row r="129">
      <c r="A129" s="36">
        <f>CHOOSE(MONTH(EDATE(EDATE(DATE(YEAR($E$3),MONTH($E$3),1),-($E$3&lt;EOMONTH($E$3,0))),-4)),"Январь","Февраль","Март","Апрель","Май","Июнь","Июль","Август","Сентябрь","Октябрь","Ноябрь","Декабрь")&amp;" "&amp;YEAR(EDATE(EDATE(DATE(YEAR($E$3),MONTH($E$3),1),-($E$3&lt;EOMONTH($E$3,0))),-4))</f>
        <v/>
      </c>
      <c r="B129" s="40">
        <f>IFERROR(B144/B114,"")</f>
        <v/>
      </c>
      <c r="C129" s="40">
        <f>IFERROR(C144/C114,"")</f>
        <v/>
      </c>
      <c r="D129" s="40">
        <f>IFERROR(D144/D114,"")</f>
        <v/>
      </c>
      <c r="E129" s="56">
        <f>IFERROR(E144/E114,"")</f>
        <v/>
      </c>
    </row>
    <row r="130">
      <c r="A130" s="29">
        <f>CHOOSE(MONTH(EDATE(EDATE(DATE(YEAR($E$3),MONTH($E$3),1),-($E$3&lt;EOMONTH($E$3,0))),-3)),"Январь","Февраль","Март","Апрель","Май","Июнь","Июль","Август","Сентябрь","Октябрь","Ноябрь","Декабрь")&amp;" "&amp;YEAR(EDATE(EDATE(DATE(YEAR($E$3),MONTH($E$3),1),-($E$3&lt;EOMONTH($E$3,0))),-3))</f>
        <v/>
      </c>
      <c r="B130" s="33">
        <f>IFERROR(B145/B115,"")</f>
        <v/>
      </c>
      <c r="C130" s="33">
        <f>IFERROR(C145/C115,"")</f>
        <v/>
      </c>
      <c r="D130" s="33">
        <f>IFERROR(D145/D115,"")</f>
        <v/>
      </c>
      <c r="E130" s="55">
        <f>IFERROR(E145/E115,"")</f>
        <v/>
      </c>
    </row>
    <row r="131">
      <c r="A131" s="36">
        <f>CHOOSE(MONTH(EDATE(EDATE(DATE(YEAR($E$3),MONTH($E$3),1),-($E$3&lt;EOMONTH($E$3,0))),-2)),"Январь","Февраль","Март","Апрель","Май","Июнь","Июль","Август","Сентябрь","Октябрь","Ноябрь","Декабрь")&amp;" "&amp;YEAR(EDATE(EDATE(DATE(YEAR($E$3),MONTH($E$3),1),-($E$3&lt;EOMONTH($E$3,0))),-2))</f>
        <v/>
      </c>
      <c r="B131" s="40">
        <f>IFERROR(B146/B116,"")</f>
        <v/>
      </c>
      <c r="C131" s="40">
        <f>IFERROR(C146/C116,"")</f>
        <v/>
      </c>
      <c r="D131" s="40">
        <f>IFERROR(D146/D116,"")</f>
        <v/>
      </c>
      <c r="E131" s="56">
        <f>IFERROR(E146/E116,"")</f>
        <v/>
      </c>
    </row>
    <row r="132">
      <c r="A132" s="29">
        <f>CHOOSE(MONTH(EDATE(EDATE(DATE(YEAR($E$3),MONTH($E$3),1),-($E$3&lt;EOMONTH($E$3,0))),-1)),"Январь","Февраль","Март","Апрель","Май","Июнь","Июль","Август","Сентябрь","Октябрь","Ноябрь","Декабрь")&amp;" "&amp;YEAR(EDATE(EDATE(DATE(YEAR($E$3),MONTH($E$3),1),-($E$3&lt;EOMONTH($E$3,0))),-1))</f>
        <v/>
      </c>
      <c r="B132" s="33">
        <f>IFERROR(B147/B117,"")</f>
        <v/>
      </c>
      <c r="C132" s="33">
        <f>IFERROR(C147/C117,"")</f>
        <v/>
      </c>
      <c r="D132" s="33">
        <f>IFERROR(D147/D117,"")</f>
        <v/>
      </c>
      <c r="E132" s="55">
        <f>IFERROR(E147/E117,"")</f>
        <v/>
      </c>
    </row>
    <row r="133">
      <c r="A133" s="36">
        <f>CHOOSE(MONTH(EDATE(EDATE(DATE(YEAR($E$3),MONTH($E$3),1),-($E$3&lt;EOMONTH($E$3,0))),0)),"Январь","Февраль","Март","Апрель","Май","Июнь","Июль","Август","Сентябрь","Октябрь","Ноябрь","Декабрь")&amp;" "&amp;YEAR(EDATE(EDATE(DATE(YEAR($E$3),MONTH($E$3),1),-($E$3&lt;EOMONTH($E$3,0))),0))</f>
        <v/>
      </c>
      <c r="B133" s="40">
        <f>IFERROR(B148/B118,"")</f>
        <v/>
      </c>
      <c r="C133" s="40">
        <f>IFERROR(C148/C118,"")</f>
        <v/>
      </c>
      <c r="D133" s="40">
        <f>IFERROR(D148/D118,"")</f>
        <v/>
      </c>
      <c r="E133" s="56">
        <f>IFERROR(E148/E118,"")</f>
        <v/>
      </c>
    </row>
    <row r="135">
      <c r="A135" s="9" t="inlineStr">
        <is>
          <t>Расход по направлениям, по месяцам</t>
        </is>
      </c>
    </row>
    <row r="136">
      <c r="A136" s="11" t="inlineStr">
        <is>
          <t>Месяц</t>
        </is>
      </c>
      <c r="B136" s="11">
        <f>'⚙ Настройки'!$A$2</f>
        <v/>
      </c>
      <c r="C136" s="11">
        <f>'⚙ Настройки'!$A$3</f>
        <v/>
      </c>
      <c r="D136" s="11">
        <f>'⚙ Настройки'!$A$4</f>
        <v/>
      </c>
      <c r="E136" s="11" t="inlineStr">
        <is>
          <t>Итого</t>
        </is>
      </c>
    </row>
    <row r="137">
      <c r="A137" s="29">
        <f>CHOOSE(MONTH(EDATE(EDATE(DATE(YEAR($E$3),MONTH($E$3),1),-($E$3&lt;EOMONTH($E$3,0))),-11)),"Январь","Февраль","Март","Апрель","Май","Июнь","Июль","Август","Сентябрь","Октябрь","Ноябрь","Декабрь")&amp;" "&amp;YEAR(EDATE(EDATE(DATE(YEAR($E$3),MONTH($E$3),1),-($E$3&lt;EOMONTH($E$3,0))),-11))</f>
        <v/>
      </c>
      <c r="B137" s="30">
        <f>SUMIFS('Данные'!$C:$C,'Данные'!$A:$A,"&gt;="&amp;EDATE(EDATE(DATE(YEAR($E$3),MONTH($E$3),1),-($E$3&lt;EOMONTH($E$3,0))),-11),'Данные'!$A:$A,"&lt;"&amp;EOMONTH(EDATE(EDATE(DATE(YEAR($E$3),MONTH($E$3),1),-($E$3&lt;EOMONTH($E$3,0))),-11),0)+1,'Данные'!$B:$B,B$136)</f>
        <v/>
      </c>
      <c r="C137" s="30">
        <f>SUMIFS('Данные'!$C:$C,'Данные'!$A:$A,"&gt;="&amp;EDATE(EDATE(DATE(YEAR($E$3),MONTH($E$3),1),-($E$3&lt;EOMONTH($E$3,0))),-11),'Данные'!$A:$A,"&lt;"&amp;EOMONTH(EDATE(EDATE(DATE(YEAR($E$3),MONTH($E$3),1),-($E$3&lt;EOMONTH($E$3,0))),-11),0)+1,'Данные'!$B:$B,C$136)</f>
        <v/>
      </c>
      <c r="D137" s="30">
        <f>SUMIFS('Данные'!$C:$C,'Данные'!$A:$A,"&gt;="&amp;EDATE(EDATE(DATE(YEAR($E$3),MONTH($E$3),1),-($E$3&lt;EOMONTH($E$3,0))),-11),'Данные'!$A:$A,"&lt;"&amp;EOMONTH(EDATE(EDATE(DATE(YEAR($E$3),MONTH($E$3),1),-($E$3&lt;EOMONTH($E$3,0))),-11),0)+1,'Данные'!$B:$B,D$136)</f>
        <v/>
      </c>
      <c r="E137" s="57">
        <f>SUM(B137:D137)</f>
        <v/>
      </c>
    </row>
    <row r="138">
      <c r="A138" s="36">
        <f>CHOOSE(MONTH(EDATE(EDATE(DATE(YEAR($E$3),MONTH($E$3),1),-($E$3&lt;EOMONTH($E$3,0))),-10)),"Январь","Февраль","Март","Апрель","Май","Июнь","Июль","Август","Сентябрь","Октябрь","Ноябрь","Декабрь")&amp;" "&amp;YEAR(EDATE(EDATE(DATE(YEAR($E$3),MONTH($E$3),1),-($E$3&lt;EOMONTH($E$3,0))),-10))</f>
        <v/>
      </c>
      <c r="B138" s="37">
        <f>SUMIFS('Данные'!$C:$C,'Данные'!$A:$A,"&gt;="&amp;EDATE(EDATE(DATE(YEAR($E$3),MONTH($E$3),1),-($E$3&lt;EOMONTH($E$3,0))),-10),'Данные'!$A:$A,"&lt;"&amp;EOMONTH(EDATE(EDATE(DATE(YEAR($E$3),MONTH($E$3),1),-($E$3&lt;EOMONTH($E$3,0))),-10),0)+1,'Данные'!$B:$B,B$136)</f>
        <v/>
      </c>
      <c r="C138" s="37">
        <f>SUMIFS('Данные'!$C:$C,'Данные'!$A:$A,"&gt;="&amp;EDATE(EDATE(DATE(YEAR($E$3),MONTH($E$3),1),-($E$3&lt;EOMONTH($E$3,0))),-10),'Данные'!$A:$A,"&lt;"&amp;EOMONTH(EDATE(EDATE(DATE(YEAR($E$3),MONTH($E$3),1),-($E$3&lt;EOMONTH($E$3,0))),-10),0)+1,'Данные'!$B:$B,C$136)</f>
        <v/>
      </c>
      <c r="D138" s="37">
        <f>SUMIFS('Данные'!$C:$C,'Данные'!$A:$A,"&gt;="&amp;EDATE(EDATE(DATE(YEAR($E$3),MONTH($E$3),1),-($E$3&lt;EOMONTH($E$3,0))),-10),'Данные'!$A:$A,"&lt;"&amp;EOMONTH(EDATE(EDATE(DATE(YEAR($E$3),MONTH($E$3),1),-($E$3&lt;EOMONTH($E$3,0))),-10),0)+1,'Данные'!$B:$B,D$136)</f>
        <v/>
      </c>
      <c r="E138" s="58">
        <f>SUM(B138:D138)</f>
        <v/>
      </c>
    </row>
    <row r="139">
      <c r="A139" s="29">
        <f>CHOOSE(MONTH(EDATE(EDATE(DATE(YEAR($E$3),MONTH($E$3),1),-($E$3&lt;EOMONTH($E$3,0))),-9)),"Январь","Февраль","Март","Апрель","Май","Июнь","Июль","Август","Сентябрь","Октябрь","Ноябрь","Декабрь")&amp;" "&amp;YEAR(EDATE(EDATE(DATE(YEAR($E$3),MONTH($E$3),1),-($E$3&lt;EOMONTH($E$3,0))),-9))</f>
        <v/>
      </c>
      <c r="B139" s="30">
        <f>SUMIFS('Данные'!$C:$C,'Данные'!$A:$A,"&gt;="&amp;EDATE(EDATE(DATE(YEAR($E$3),MONTH($E$3),1),-($E$3&lt;EOMONTH($E$3,0))),-9),'Данные'!$A:$A,"&lt;"&amp;EOMONTH(EDATE(EDATE(DATE(YEAR($E$3),MONTH($E$3),1),-($E$3&lt;EOMONTH($E$3,0))),-9),0)+1,'Данные'!$B:$B,B$136)</f>
        <v/>
      </c>
      <c r="C139" s="30">
        <f>SUMIFS('Данные'!$C:$C,'Данные'!$A:$A,"&gt;="&amp;EDATE(EDATE(DATE(YEAR($E$3),MONTH($E$3),1),-($E$3&lt;EOMONTH($E$3,0))),-9),'Данные'!$A:$A,"&lt;"&amp;EOMONTH(EDATE(EDATE(DATE(YEAR($E$3),MONTH($E$3),1),-($E$3&lt;EOMONTH($E$3,0))),-9),0)+1,'Данные'!$B:$B,C$136)</f>
        <v/>
      </c>
      <c r="D139" s="30">
        <f>SUMIFS('Данные'!$C:$C,'Данные'!$A:$A,"&gt;="&amp;EDATE(EDATE(DATE(YEAR($E$3),MONTH($E$3),1),-($E$3&lt;EOMONTH($E$3,0))),-9),'Данные'!$A:$A,"&lt;"&amp;EOMONTH(EDATE(EDATE(DATE(YEAR($E$3),MONTH($E$3),1),-($E$3&lt;EOMONTH($E$3,0))),-9),0)+1,'Данные'!$B:$B,D$136)</f>
        <v/>
      </c>
      <c r="E139" s="57">
        <f>SUM(B139:D139)</f>
        <v/>
      </c>
    </row>
    <row r="140">
      <c r="A140" s="36">
        <f>CHOOSE(MONTH(EDATE(EDATE(DATE(YEAR($E$3),MONTH($E$3),1),-($E$3&lt;EOMONTH($E$3,0))),-8)),"Январь","Февраль","Март","Апрель","Май","Июнь","Июль","Август","Сентябрь","Октябрь","Ноябрь","Декабрь")&amp;" "&amp;YEAR(EDATE(EDATE(DATE(YEAR($E$3),MONTH($E$3),1),-($E$3&lt;EOMONTH($E$3,0))),-8))</f>
        <v/>
      </c>
      <c r="B140" s="37">
        <f>SUMIFS('Данные'!$C:$C,'Данные'!$A:$A,"&gt;="&amp;EDATE(EDATE(DATE(YEAR($E$3),MONTH($E$3),1),-($E$3&lt;EOMONTH($E$3,0))),-8),'Данные'!$A:$A,"&lt;"&amp;EOMONTH(EDATE(EDATE(DATE(YEAR($E$3),MONTH($E$3),1),-($E$3&lt;EOMONTH($E$3,0))),-8),0)+1,'Данные'!$B:$B,B$136)</f>
        <v/>
      </c>
      <c r="C140" s="37">
        <f>SUMIFS('Данные'!$C:$C,'Данные'!$A:$A,"&gt;="&amp;EDATE(EDATE(DATE(YEAR($E$3),MONTH($E$3),1),-($E$3&lt;EOMONTH($E$3,0))),-8),'Данные'!$A:$A,"&lt;"&amp;EOMONTH(EDATE(EDATE(DATE(YEAR($E$3),MONTH($E$3),1),-($E$3&lt;EOMONTH($E$3,0))),-8),0)+1,'Данные'!$B:$B,C$136)</f>
        <v/>
      </c>
      <c r="D140" s="37">
        <f>SUMIFS('Данные'!$C:$C,'Данные'!$A:$A,"&gt;="&amp;EDATE(EDATE(DATE(YEAR($E$3),MONTH($E$3),1),-($E$3&lt;EOMONTH($E$3,0))),-8),'Данные'!$A:$A,"&lt;"&amp;EOMONTH(EDATE(EDATE(DATE(YEAR($E$3),MONTH($E$3),1),-($E$3&lt;EOMONTH($E$3,0))),-8),0)+1,'Данные'!$B:$B,D$136)</f>
        <v/>
      </c>
      <c r="E140" s="58">
        <f>SUM(B140:D140)</f>
        <v/>
      </c>
    </row>
    <row r="141">
      <c r="A141" s="29">
        <f>CHOOSE(MONTH(EDATE(EDATE(DATE(YEAR($E$3),MONTH($E$3),1),-($E$3&lt;EOMONTH($E$3,0))),-7)),"Январь","Февраль","Март","Апрель","Май","Июнь","Июль","Август","Сентябрь","Октябрь","Ноябрь","Декабрь")&amp;" "&amp;YEAR(EDATE(EDATE(DATE(YEAR($E$3),MONTH($E$3),1),-($E$3&lt;EOMONTH($E$3,0))),-7))</f>
        <v/>
      </c>
      <c r="B141" s="30">
        <f>SUMIFS('Данные'!$C:$C,'Данные'!$A:$A,"&gt;="&amp;EDATE(EDATE(DATE(YEAR($E$3),MONTH($E$3),1),-($E$3&lt;EOMONTH($E$3,0))),-7),'Данные'!$A:$A,"&lt;"&amp;EOMONTH(EDATE(EDATE(DATE(YEAR($E$3),MONTH($E$3),1),-($E$3&lt;EOMONTH($E$3,0))),-7),0)+1,'Данные'!$B:$B,B$136)</f>
        <v/>
      </c>
      <c r="C141" s="30">
        <f>SUMIFS('Данные'!$C:$C,'Данные'!$A:$A,"&gt;="&amp;EDATE(EDATE(DATE(YEAR($E$3),MONTH($E$3),1),-($E$3&lt;EOMONTH($E$3,0))),-7),'Данные'!$A:$A,"&lt;"&amp;EOMONTH(EDATE(EDATE(DATE(YEAR($E$3),MONTH($E$3),1),-($E$3&lt;EOMONTH($E$3,0))),-7),0)+1,'Данные'!$B:$B,C$136)</f>
        <v/>
      </c>
      <c r="D141" s="30">
        <f>SUMIFS('Данные'!$C:$C,'Данные'!$A:$A,"&gt;="&amp;EDATE(EDATE(DATE(YEAR($E$3),MONTH($E$3),1),-($E$3&lt;EOMONTH($E$3,0))),-7),'Данные'!$A:$A,"&lt;"&amp;EOMONTH(EDATE(EDATE(DATE(YEAR($E$3),MONTH($E$3),1),-($E$3&lt;EOMONTH($E$3,0))),-7),0)+1,'Данные'!$B:$B,D$136)</f>
        <v/>
      </c>
      <c r="E141" s="57">
        <f>SUM(B141:D141)</f>
        <v/>
      </c>
    </row>
    <row r="142">
      <c r="A142" s="36">
        <f>CHOOSE(MONTH(EDATE(EDATE(DATE(YEAR($E$3),MONTH($E$3),1),-($E$3&lt;EOMONTH($E$3,0))),-6)),"Январь","Февраль","Март","Апрель","Май","Июнь","Июль","Август","Сентябрь","Октябрь","Ноябрь","Декабрь")&amp;" "&amp;YEAR(EDATE(EDATE(DATE(YEAR($E$3),MONTH($E$3),1),-($E$3&lt;EOMONTH($E$3,0))),-6))</f>
        <v/>
      </c>
      <c r="B142" s="37">
        <f>SUMIFS('Данные'!$C:$C,'Данные'!$A:$A,"&gt;="&amp;EDATE(EDATE(DATE(YEAR($E$3),MONTH($E$3),1),-($E$3&lt;EOMONTH($E$3,0))),-6),'Данные'!$A:$A,"&lt;"&amp;EOMONTH(EDATE(EDATE(DATE(YEAR($E$3),MONTH($E$3),1),-($E$3&lt;EOMONTH($E$3,0))),-6),0)+1,'Данные'!$B:$B,B$136)</f>
        <v/>
      </c>
      <c r="C142" s="37">
        <f>SUMIFS('Данные'!$C:$C,'Данные'!$A:$A,"&gt;="&amp;EDATE(EDATE(DATE(YEAR($E$3),MONTH($E$3),1),-($E$3&lt;EOMONTH($E$3,0))),-6),'Данные'!$A:$A,"&lt;"&amp;EOMONTH(EDATE(EDATE(DATE(YEAR($E$3),MONTH($E$3),1),-($E$3&lt;EOMONTH($E$3,0))),-6),0)+1,'Данные'!$B:$B,C$136)</f>
        <v/>
      </c>
      <c r="D142" s="37">
        <f>SUMIFS('Данные'!$C:$C,'Данные'!$A:$A,"&gt;="&amp;EDATE(EDATE(DATE(YEAR($E$3),MONTH($E$3),1),-($E$3&lt;EOMONTH($E$3,0))),-6),'Данные'!$A:$A,"&lt;"&amp;EOMONTH(EDATE(EDATE(DATE(YEAR($E$3),MONTH($E$3),1),-($E$3&lt;EOMONTH($E$3,0))),-6),0)+1,'Данные'!$B:$B,D$136)</f>
        <v/>
      </c>
      <c r="E142" s="58">
        <f>SUM(B142:D142)</f>
        <v/>
      </c>
    </row>
    <row r="143">
      <c r="A143" s="29">
        <f>CHOOSE(MONTH(EDATE(EDATE(DATE(YEAR($E$3),MONTH($E$3),1),-($E$3&lt;EOMONTH($E$3,0))),-5)),"Январь","Февраль","Март","Апрель","Май","Июнь","Июль","Август","Сентябрь","Октябрь","Ноябрь","Декабрь")&amp;" "&amp;YEAR(EDATE(EDATE(DATE(YEAR($E$3),MONTH($E$3),1),-($E$3&lt;EOMONTH($E$3,0))),-5))</f>
        <v/>
      </c>
      <c r="B143" s="30">
        <f>SUMIFS('Данные'!$C:$C,'Данные'!$A:$A,"&gt;="&amp;EDATE(EDATE(DATE(YEAR($E$3),MONTH($E$3),1),-($E$3&lt;EOMONTH($E$3,0))),-5),'Данные'!$A:$A,"&lt;"&amp;EOMONTH(EDATE(EDATE(DATE(YEAR($E$3),MONTH($E$3),1),-($E$3&lt;EOMONTH($E$3,0))),-5),0)+1,'Данные'!$B:$B,B$136)</f>
        <v/>
      </c>
      <c r="C143" s="30">
        <f>SUMIFS('Данные'!$C:$C,'Данные'!$A:$A,"&gt;="&amp;EDATE(EDATE(DATE(YEAR($E$3),MONTH($E$3),1),-($E$3&lt;EOMONTH($E$3,0))),-5),'Данные'!$A:$A,"&lt;"&amp;EOMONTH(EDATE(EDATE(DATE(YEAR($E$3),MONTH($E$3),1),-($E$3&lt;EOMONTH($E$3,0))),-5),0)+1,'Данные'!$B:$B,C$136)</f>
        <v/>
      </c>
      <c r="D143" s="30">
        <f>SUMIFS('Данные'!$C:$C,'Данные'!$A:$A,"&gt;="&amp;EDATE(EDATE(DATE(YEAR($E$3),MONTH($E$3),1),-($E$3&lt;EOMONTH($E$3,0))),-5),'Данные'!$A:$A,"&lt;"&amp;EOMONTH(EDATE(EDATE(DATE(YEAR($E$3),MONTH($E$3),1),-($E$3&lt;EOMONTH($E$3,0))),-5),0)+1,'Данные'!$B:$B,D$136)</f>
        <v/>
      </c>
      <c r="E143" s="57">
        <f>SUM(B143:D143)</f>
        <v/>
      </c>
    </row>
    <row r="144">
      <c r="A144" s="36">
        <f>CHOOSE(MONTH(EDATE(EDATE(DATE(YEAR($E$3),MONTH($E$3),1),-($E$3&lt;EOMONTH($E$3,0))),-4)),"Январь","Февраль","Март","Апрель","Май","Июнь","Июль","Август","Сентябрь","Октябрь","Ноябрь","Декабрь")&amp;" "&amp;YEAR(EDATE(EDATE(DATE(YEAR($E$3),MONTH($E$3),1),-($E$3&lt;EOMONTH($E$3,0))),-4))</f>
        <v/>
      </c>
      <c r="B144" s="37">
        <f>SUMIFS('Данные'!$C:$C,'Данные'!$A:$A,"&gt;="&amp;EDATE(EDATE(DATE(YEAR($E$3),MONTH($E$3),1),-($E$3&lt;EOMONTH($E$3,0))),-4),'Данные'!$A:$A,"&lt;"&amp;EOMONTH(EDATE(EDATE(DATE(YEAR($E$3),MONTH($E$3),1),-($E$3&lt;EOMONTH($E$3,0))),-4),0)+1,'Данные'!$B:$B,B$136)</f>
        <v/>
      </c>
      <c r="C144" s="37">
        <f>SUMIFS('Данные'!$C:$C,'Данные'!$A:$A,"&gt;="&amp;EDATE(EDATE(DATE(YEAR($E$3),MONTH($E$3),1),-($E$3&lt;EOMONTH($E$3,0))),-4),'Данные'!$A:$A,"&lt;"&amp;EOMONTH(EDATE(EDATE(DATE(YEAR($E$3),MONTH($E$3),1),-($E$3&lt;EOMONTH($E$3,0))),-4),0)+1,'Данные'!$B:$B,C$136)</f>
        <v/>
      </c>
      <c r="D144" s="37">
        <f>SUMIFS('Данные'!$C:$C,'Данные'!$A:$A,"&gt;="&amp;EDATE(EDATE(DATE(YEAR($E$3),MONTH($E$3),1),-($E$3&lt;EOMONTH($E$3,0))),-4),'Данные'!$A:$A,"&lt;"&amp;EOMONTH(EDATE(EDATE(DATE(YEAR($E$3),MONTH($E$3),1),-($E$3&lt;EOMONTH($E$3,0))),-4),0)+1,'Данные'!$B:$B,D$136)</f>
        <v/>
      </c>
      <c r="E144" s="58">
        <f>SUM(B144:D144)</f>
        <v/>
      </c>
    </row>
    <row r="145">
      <c r="A145" s="29">
        <f>CHOOSE(MONTH(EDATE(EDATE(DATE(YEAR($E$3),MONTH($E$3),1),-($E$3&lt;EOMONTH($E$3,0))),-3)),"Январь","Февраль","Март","Апрель","Май","Июнь","Июль","Август","Сентябрь","Октябрь","Ноябрь","Декабрь")&amp;" "&amp;YEAR(EDATE(EDATE(DATE(YEAR($E$3),MONTH($E$3),1),-($E$3&lt;EOMONTH($E$3,0))),-3))</f>
        <v/>
      </c>
      <c r="B145" s="30">
        <f>SUMIFS('Данные'!$C:$C,'Данные'!$A:$A,"&gt;="&amp;EDATE(EDATE(DATE(YEAR($E$3),MONTH($E$3),1),-($E$3&lt;EOMONTH($E$3,0))),-3),'Данные'!$A:$A,"&lt;"&amp;EOMONTH(EDATE(EDATE(DATE(YEAR($E$3),MONTH($E$3),1),-($E$3&lt;EOMONTH($E$3,0))),-3),0)+1,'Данные'!$B:$B,B$136)</f>
        <v/>
      </c>
      <c r="C145" s="30">
        <f>SUMIFS('Данные'!$C:$C,'Данные'!$A:$A,"&gt;="&amp;EDATE(EDATE(DATE(YEAR($E$3),MONTH($E$3),1),-($E$3&lt;EOMONTH($E$3,0))),-3),'Данные'!$A:$A,"&lt;"&amp;EOMONTH(EDATE(EDATE(DATE(YEAR($E$3),MONTH($E$3),1),-($E$3&lt;EOMONTH($E$3,0))),-3),0)+1,'Данные'!$B:$B,C$136)</f>
        <v/>
      </c>
      <c r="D145" s="30">
        <f>SUMIFS('Данные'!$C:$C,'Данные'!$A:$A,"&gt;="&amp;EDATE(EDATE(DATE(YEAR($E$3),MONTH($E$3),1),-($E$3&lt;EOMONTH($E$3,0))),-3),'Данные'!$A:$A,"&lt;"&amp;EOMONTH(EDATE(EDATE(DATE(YEAR($E$3),MONTH($E$3),1),-($E$3&lt;EOMONTH($E$3,0))),-3),0)+1,'Данные'!$B:$B,D$136)</f>
        <v/>
      </c>
      <c r="E145" s="57">
        <f>SUM(B145:D145)</f>
        <v/>
      </c>
    </row>
    <row r="146">
      <c r="A146" s="36">
        <f>CHOOSE(MONTH(EDATE(EDATE(DATE(YEAR($E$3),MONTH($E$3),1),-($E$3&lt;EOMONTH($E$3,0))),-2)),"Январь","Февраль","Март","Апрель","Май","Июнь","Июль","Август","Сентябрь","Октябрь","Ноябрь","Декабрь")&amp;" "&amp;YEAR(EDATE(EDATE(DATE(YEAR($E$3),MONTH($E$3),1),-($E$3&lt;EOMONTH($E$3,0))),-2))</f>
        <v/>
      </c>
      <c r="B146" s="37">
        <f>SUMIFS('Данные'!$C:$C,'Данные'!$A:$A,"&gt;="&amp;EDATE(EDATE(DATE(YEAR($E$3),MONTH($E$3),1),-($E$3&lt;EOMONTH($E$3,0))),-2),'Данные'!$A:$A,"&lt;"&amp;EOMONTH(EDATE(EDATE(DATE(YEAR($E$3),MONTH($E$3),1),-($E$3&lt;EOMONTH($E$3,0))),-2),0)+1,'Данные'!$B:$B,B$136)</f>
        <v/>
      </c>
      <c r="C146" s="37">
        <f>SUMIFS('Данные'!$C:$C,'Данные'!$A:$A,"&gt;="&amp;EDATE(EDATE(DATE(YEAR($E$3),MONTH($E$3),1),-($E$3&lt;EOMONTH($E$3,0))),-2),'Данные'!$A:$A,"&lt;"&amp;EOMONTH(EDATE(EDATE(DATE(YEAR($E$3),MONTH($E$3),1),-($E$3&lt;EOMONTH($E$3,0))),-2),0)+1,'Данные'!$B:$B,C$136)</f>
        <v/>
      </c>
      <c r="D146" s="37">
        <f>SUMIFS('Данные'!$C:$C,'Данные'!$A:$A,"&gt;="&amp;EDATE(EDATE(DATE(YEAR($E$3),MONTH($E$3),1),-($E$3&lt;EOMONTH($E$3,0))),-2),'Данные'!$A:$A,"&lt;"&amp;EOMONTH(EDATE(EDATE(DATE(YEAR($E$3),MONTH($E$3),1),-($E$3&lt;EOMONTH($E$3,0))),-2),0)+1,'Данные'!$B:$B,D$136)</f>
        <v/>
      </c>
      <c r="E146" s="58">
        <f>SUM(B146:D146)</f>
        <v/>
      </c>
    </row>
    <row r="147">
      <c r="A147" s="29">
        <f>CHOOSE(MONTH(EDATE(EDATE(DATE(YEAR($E$3),MONTH($E$3),1),-($E$3&lt;EOMONTH($E$3,0))),-1)),"Январь","Февраль","Март","Апрель","Май","Июнь","Июль","Август","Сентябрь","Октябрь","Ноябрь","Декабрь")&amp;" "&amp;YEAR(EDATE(EDATE(DATE(YEAR($E$3),MONTH($E$3),1),-($E$3&lt;EOMONTH($E$3,0))),-1))</f>
        <v/>
      </c>
      <c r="B147" s="30">
        <f>SUMIFS('Данные'!$C:$C,'Данные'!$A:$A,"&gt;="&amp;EDATE(EDATE(DATE(YEAR($E$3),MONTH($E$3),1),-($E$3&lt;EOMONTH($E$3,0))),-1),'Данные'!$A:$A,"&lt;"&amp;EOMONTH(EDATE(EDATE(DATE(YEAR($E$3),MONTH($E$3),1),-($E$3&lt;EOMONTH($E$3,0))),-1),0)+1,'Данные'!$B:$B,B$136)</f>
        <v/>
      </c>
      <c r="C147" s="30">
        <f>SUMIFS('Данные'!$C:$C,'Данные'!$A:$A,"&gt;="&amp;EDATE(EDATE(DATE(YEAR($E$3),MONTH($E$3),1),-($E$3&lt;EOMONTH($E$3,0))),-1),'Данные'!$A:$A,"&lt;"&amp;EOMONTH(EDATE(EDATE(DATE(YEAR($E$3),MONTH($E$3),1),-($E$3&lt;EOMONTH($E$3,0))),-1),0)+1,'Данные'!$B:$B,C$136)</f>
        <v/>
      </c>
      <c r="D147" s="30">
        <f>SUMIFS('Данные'!$C:$C,'Данные'!$A:$A,"&gt;="&amp;EDATE(EDATE(DATE(YEAR($E$3),MONTH($E$3),1),-($E$3&lt;EOMONTH($E$3,0))),-1),'Данные'!$A:$A,"&lt;"&amp;EOMONTH(EDATE(EDATE(DATE(YEAR($E$3),MONTH($E$3),1),-($E$3&lt;EOMONTH($E$3,0))),-1),0)+1,'Данные'!$B:$B,D$136)</f>
        <v/>
      </c>
      <c r="E147" s="57">
        <f>SUM(B147:D147)</f>
        <v/>
      </c>
    </row>
    <row r="148">
      <c r="A148" s="36">
        <f>CHOOSE(MONTH(EDATE(EDATE(DATE(YEAR($E$3),MONTH($E$3),1),-($E$3&lt;EOMONTH($E$3,0))),0)),"Январь","Февраль","Март","Апрель","Май","Июнь","Июль","Август","Сентябрь","Октябрь","Ноябрь","Декабрь")&amp;" "&amp;YEAR(EDATE(EDATE(DATE(YEAR($E$3),MONTH($E$3),1),-($E$3&lt;EOMONTH($E$3,0))),0))</f>
        <v/>
      </c>
      <c r="B148" s="37">
        <f>SUMIFS('Данные'!$C:$C,'Данные'!$A:$A,"&gt;="&amp;EDATE(EDATE(DATE(YEAR($E$3),MONTH($E$3),1),-($E$3&lt;EOMONTH($E$3,0))),0),'Данные'!$A:$A,"&lt;"&amp;EOMONTH(EDATE(EDATE(DATE(YEAR($E$3),MONTH($E$3),1),-($E$3&lt;EOMONTH($E$3,0))),0),0)+1,'Данные'!$B:$B,B$136)</f>
        <v/>
      </c>
      <c r="C148" s="37">
        <f>SUMIFS('Данные'!$C:$C,'Данные'!$A:$A,"&gt;="&amp;EDATE(EDATE(DATE(YEAR($E$3),MONTH($E$3),1),-($E$3&lt;EOMONTH($E$3,0))),0),'Данные'!$A:$A,"&lt;"&amp;EOMONTH(EDATE(EDATE(DATE(YEAR($E$3),MONTH($E$3),1),-($E$3&lt;EOMONTH($E$3,0))),0),0)+1,'Данные'!$B:$B,C$136)</f>
        <v/>
      </c>
      <c r="D148" s="37">
        <f>SUMIFS('Данные'!$C:$C,'Данные'!$A:$A,"&gt;="&amp;EDATE(EDATE(DATE(YEAR($E$3),MONTH($E$3),1),-($E$3&lt;EOMONTH($E$3,0))),0),'Данные'!$A:$A,"&lt;"&amp;EOMONTH(EDATE(EDATE(DATE(YEAR($E$3),MONTH($E$3),1),-($E$3&lt;EOMONTH($E$3,0))),0),0)+1,'Данные'!$B:$B,D$136)</f>
        <v/>
      </c>
      <c r="E148" s="58">
        <f>SUM(B148:D148)</f>
        <v/>
      </c>
    </row>
  </sheetData>
  <conditionalFormatting sqref="D9">
    <cfRule type="expression" priority="1" dxfId="0">
      <formula>AND(ISNUMBER(D9),D9&gt;0.005)</formula>
    </cfRule>
    <cfRule type="expression" priority="2" dxfId="1">
      <formula>AND(ISNUMBER(D9),D9&lt;-0.005)</formula>
    </cfRule>
  </conditionalFormatting>
  <conditionalFormatting sqref="E9">
    <cfRule type="expression" priority="3" dxfId="0">
      <formula>AND(ISNUMBER(E9),E9&gt;0.005)</formula>
    </cfRule>
    <cfRule type="expression" priority="4" dxfId="1">
      <formula>AND(ISNUMBER(E9),E9&lt;-0.005)</formula>
    </cfRule>
  </conditionalFormatting>
  <conditionalFormatting sqref="F9">
    <cfRule type="expression" priority="5" dxfId="0">
      <formula>AND(ISNUMBER(F9),F9&gt;0.005)</formula>
    </cfRule>
    <cfRule type="expression" priority="6" dxfId="1">
      <formula>AND(ISNUMBER(F9),F9&lt;-0.005)</formula>
    </cfRule>
  </conditionalFormatting>
  <conditionalFormatting sqref="G9">
    <cfRule type="expression" priority="7" dxfId="1">
      <formula>AND(ISNUMBER(G9),G9&gt;0.005)</formula>
    </cfRule>
    <cfRule type="expression" priority="8" dxfId="0">
      <formula>AND(ISNUMBER(G9),G9&lt;-0.005)</formula>
    </cfRule>
  </conditionalFormatting>
  <conditionalFormatting sqref="H9">
    <cfRule type="expression" priority="9" dxfId="0">
      <formula>AND(ISNUMBER(H9),H9&gt;0.005)</formula>
    </cfRule>
    <cfRule type="expression" priority="10" dxfId="1">
      <formula>AND(ISNUMBER(H9),H9&lt;-0.005)</formula>
    </cfRule>
  </conditionalFormatting>
  <conditionalFormatting sqref="I9">
    <cfRule type="expression" priority="11" dxfId="1">
      <formula>AND(ISNUMBER(I9),I9&gt;0.005)</formula>
    </cfRule>
    <cfRule type="expression" priority="12" dxfId="0">
      <formula>AND(ISNUMBER(I9),I9&lt;-0.005)</formula>
    </cfRule>
  </conditionalFormatting>
  <conditionalFormatting sqref="J9">
    <cfRule type="expression" priority="13" dxfId="0">
      <formula>AND(ISNUMBER(J9),J9&gt;0.005)</formula>
    </cfRule>
    <cfRule type="expression" priority="14" dxfId="1">
      <formula>AND(ISNUMBER(J9),J9&lt;-0.005)</formula>
    </cfRule>
  </conditionalFormatting>
  <conditionalFormatting sqref="F21:F45">
    <cfRule type="expression" priority="15" dxfId="0">
      <formula>AND(ISNUMBER(F21),F21&gt;0.005)</formula>
    </cfRule>
    <cfRule type="expression" priority="16" dxfId="1">
      <formula>AND(ISNUMBER(F21),F21&lt;-0.005)</formula>
    </cfRule>
  </conditionalFormatting>
  <conditionalFormatting sqref="E18">
    <cfRule type="expression" priority="17" dxfId="0">
      <formula>AND(ISNUMBER(E18),E18&gt;0.005)</formula>
    </cfRule>
    <cfRule type="expression" priority="18" dxfId="1">
      <formula>AND(ISNUMBER(E18),E18&lt;-0.005)</formula>
    </cfRule>
  </conditionalFormatting>
  <conditionalFormatting sqref="B49:D74">
    <cfRule type="colorScale" priority="19">
      <colorScale>
        <cfvo type="min"/>
        <cfvo type="percentile" val="50"/>
        <cfvo type="max"/>
        <color rgb="00D8F0E0"/>
        <color rgb="00FFFFFF"/>
        <color rgb="00F8D7D5"/>
      </colorScale>
    </cfRule>
  </conditionalFormatting>
  <conditionalFormatting sqref="F108:F118">
    <cfRule type="expression" priority="20" dxfId="0">
      <formula>AND(ISNUMBER(F108),F108&gt;0.005)</formula>
    </cfRule>
    <cfRule type="expression" priority="21" dxfId="1">
      <formula>AND(ISNUMBER(F108),F108&lt;-0.005)</formula>
    </cfRule>
  </conditionalFormatting>
  <conditionalFormatting sqref="E105">
    <cfRule type="expression" priority="22" dxfId="0">
      <formula>AND(ISNUMBER(E105),E105&gt;0.005)</formula>
    </cfRule>
    <cfRule type="expression" priority="23" dxfId="1">
      <formula>AND(ISNUMBER(E105),E105&lt;-0.005)</formula>
    </cfRule>
  </conditionalFormatting>
  <conditionalFormatting sqref="B122:D133">
    <cfRule type="colorScale" priority="24">
      <colorScale>
        <cfvo type="min"/>
        <cfvo type="percentile" val="50"/>
        <cfvo type="max"/>
        <color rgb="00D8F0E0"/>
        <color rgb="00FFFFFF"/>
        <color rgb="00F8D7D5"/>
      </colorScale>
    </cfRule>
  </conditionalFormatting>
  <dataValidations count="1">
    <dataValidation sqref="H3 J3" showDropDown="0" showInputMessage="0" showErrorMessage="0" allowBlank="1" promptTitle="Период" prompt="Дата. Пусто — текущий месяц." type="date" operator="greaterThan">
      <formula1>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A78D6"/>
    <outlinePr summaryBelow="1" summaryRight="1"/>
    <pageSetUpPr/>
  </sheetPr>
  <dimension ref="A1:AM1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  <col width="3" customWidth="1" min="13" max="13"/>
  </cols>
  <sheetData>
    <row r="1" ht="34" customHeight="1">
      <c r="A1" s="1">
        <f>"Сова · "&amp;$B$3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</row>
    <row r="2">
      <c r="A2" s="3">
        <f>"Итоги всех кампаний кабинета VK Реклама · данные по "&amp;TEXT($E$3,"DD.MM.YYYY")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</row>
    <row r="3">
      <c r="A3" s="4" t="inlineStr">
        <is>
          <t>Направление</t>
        </is>
      </c>
      <c r="B3" s="5">
        <f>'⚙ Настройки'!$A$2</f>
        <v/>
      </c>
      <c r="D3" s="4" t="inlineStr">
        <is>
          <t>Данные по</t>
        </is>
      </c>
      <c r="E3" s="6">
        <f>'⚙ Настройки'!$B$7</f>
        <v/>
      </c>
      <c r="G3" s="7" t="inlineStr">
        <is>
          <t>Период с</t>
        </is>
      </c>
      <c r="H3" s="8" t="n"/>
      <c r="I3" s="7" t="inlineStr">
        <is>
          <t>по</t>
        </is>
      </c>
      <c r="J3" s="8" t="n"/>
      <c r="N3" s="9" t="inlineStr">
        <is>
          <t>📈 Подписки и расход по дням за период выше</t>
        </is>
      </c>
    </row>
    <row r="4">
      <c r="H4" s="10">
        <f>IF(AND(ISNUMBER(H3),ISNUMBER(J3),H3&gt;J3),"⚠ Дата «с» позже даты «по»",IF(OR(ISNUMBER(H3),ISNUMBER(J3)),"Сравнение — с предыдущим периодом той же длины. Очистите поля, чтобы вернуть текущий месяц.","Пусто — текущий месяц. Дату выбирают двойным щелчком."))</f>
        <v/>
      </c>
    </row>
    <row r="5">
      <c r="A5" s="9">
        <f>IF(OR(ISNUMBER($H$3),ISNUMBER($J$3)),"Выбранный период против предыдущего той же длины","Этот месяц против тех же дней прошлого")</f>
        <v/>
      </c>
    </row>
    <row r="6">
      <c r="A6" s="11" t="inlineStr">
        <is>
          <t>Период</t>
        </is>
      </c>
      <c r="B6" s="11" t="inlineStr">
        <is>
          <t>Расход</t>
        </is>
      </c>
      <c r="C6" s="11" t="inlineStr">
        <is>
          <t>Расход с НДС</t>
        </is>
      </c>
      <c r="D6" s="11" t="inlineStr">
        <is>
          <t>Показы</t>
        </is>
      </c>
      <c r="E6" s="11" t="inlineStr">
        <is>
          <t>Клики</t>
        </is>
      </c>
      <c r="F6" s="11" t="inlineStr">
        <is>
          <t>CTR</t>
        </is>
      </c>
      <c r="G6" s="11" t="inlineStr">
        <is>
          <t>CPC</t>
        </is>
      </c>
      <c r="H6" s="11" t="inlineStr">
        <is>
          <t>Подписки</t>
        </is>
      </c>
      <c r="I6" s="11" t="inlineStr">
        <is>
          <t>Цена подписки</t>
        </is>
      </c>
      <c r="J6" s="11" t="inlineStr">
        <is>
          <t>CR в подписку</t>
        </is>
      </c>
      <c r="K6" s="11" t="inlineStr">
        <is>
          <t>с</t>
        </is>
      </c>
      <c r="L6" s="11" t="inlineStr">
        <is>
          <t>по</t>
        </is>
      </c>
    </row>
    <row r="7" ht="26" customHeight="1">
      <c r="A7" s="12">
        <f>IF(OR(ISNUMBER($H$3),ISNUMBER($J$3)),"Выбранный период","Этот месяц")</f>
        <v/>
      </c>
      <c r="B7" s="13">
        <f>SUMIFS('Данные'!$C:$C,'Данные'!$A:$A,"&gt;="&amp;$K$7,'Данные'!$A:$A,"&lt;"&amp;$L$7+1,'Данные'!$B:$B,$B$3)</f>
        <v/>
      </c>
      <c r="C7" s="13">
        <f>B7*(100+22)/100</f>
        <v/>
      </c>
      <c r="D7" s="14">
        <f>SUMIFS('Данные'!$D:$D,'Данные'!$A:$A,"&gt;="&amp;$K$7,'Данные'!$A:$A,"&lt;"&amp;$L$7+1,'Данные'!$B:$B,$B$3)</f>
        <v/>
      </c>
      <c r="E7" s="14">
        <f>SUMIFS('Данные'!$E:$E,'Данные'!$A:$A,"&gt;="&amp;$K$7,'Данные'!$A:$A,"&lt;"&amp;$L$7+1,'Данные'!$B:$B,$B$3)</f>
        <v/>
      </c>
      <c r="F7" s="15">
        <f>IFERROR(E7/D7,"")</f>
        <v/>
      </c>
      <c r="G7" s="16">
        <f>IFERROR(B7/E7,"")</f>
        <v/>
      </c>
      <c r="H7" s="14">
        <f>SUMIFS('Данные'!$F:$F,'Данные'!$A:$A,"&gt;="&amp;$K$7,'Данные'!$A:$A,"&lt;"&amp;$L$7+1,'Данные'!$B:$B,$B$3)</f>
        <v/>
      </c>
      <c r="I7" s="16">
        <f>IFERROR(B7/H7,"")</f>
        <v/>
      </c>
      <c r="J7" s="17">
        <f>IFERROR(H7/E7,"")</f>
        <v/>
      </c>
      <c r="K7" s="18">
        <f>IF(ISNUMBER($H$3),$H$3,DATE(YEAR(L7),MONTH(L7),1))</f>
        <v/>
      </c>
      <c r="L7" s="18">
        <f>IF(ISNUMBER($J$3),$J$3,$E$3)</f>
        <v/>
      </c>
    </row>
    <row r="8">
      <c r="A8" s="19">
        <f>IF(OR(ISNUMBER($H$3),ISNUMBER($J$3)),"Предыдущий, той же длины","Прошлый, те же дни")</f>
        <v/>
      </c>
      <c r="B8" s="20">
        <f>SUMIFS('Данные'!$C:$C,'Данные'!$A:$A,"&gt;="&amp;$K$8,'Данные'!$A:$A,"&lt;"&amp;$L$8+1,'Данные'!$B:$B,$B$3)</f>
        <v/>
      </c>
      <c r="C8" s="20">
        <f>B8*(100+22)/100</f>
        <v/>
      </c>
      <c r="D8" s="21">
        <f>SUMIFS('Данные'!$D:$D,'Данные'!$A:$A,"&gt;="&amp;$K$8,'Данные'!$A:$A,"&lt;"&amp;$L$8+1,'Данные'!$B:$B,$B$3)</f>
        <v/>
      </c>
      <c r="E8" s="21">
        <f>SUMIFS('Данные'!$E:$E,'Данные'!$A:$A,"&gt;="&amp;$K$8,'Данные'!$A:$A,"&lt;"&amp;$L$8+1,'Данные'!$B:$B,$B$3)</f>
        <v/>
      </c>
      <c r="F8" s="22">
        <f>IFERROR(E8/D8,"")</f>
        <v/>
      </c>
      <c r="G8" s="23">
        <f>IFERROR(B8/E8,"")</f>
        <v/>
      </c>
      <c r="H8" s="21">
        <f>SUMIFS('Данные'!$F:$F,'Данные'!$A:$A,"&gt;="&amp;$K$8,'Данные'!$A:$A,"&lt;"&amp;$L$8+1,'Данные'!$B:$B,$B$3)</f>
        <v/>
      </c>
      <c r="I8" s="23">
        <f>IFERROR(B8/H8,"")</f>
        <v/>
      </c>
      <c r="J8" s="24">
        <f>IFERROR(H8/E8,"")</f>
        <v/>
      </c>
      <c r="K8" s="25">
        <f>IF(OR(ISNUMBER($H$3),ISNUMBER($J$3)),2*K7-L7-1,EDATE(K7,-1))</f>
        <v/>
      </c>
      <c r="L8" s="25">
        <f>IF(OR(ISNUMBER($H$3),ISNUMBER($J$3)),K7-1,EDATE(L7,-1))</f>
        <v/>
      </c>
    </row>
    <row r="9">
      <c r="A9" s="26" t="inlineStr">
        <is>
          <t>Изменение</t>
        </is>
      </c>
      <c r="B9" s="27">
        <f>IFERROR(B7/B8-1,"")</f>
        <v/>
      </c>
      <c r="C9" s="27">
        <f>IFERROR(C7/C8-1,"")</f>
        <v/>
      </c>
      <c r="D9" s="27">
        <f>IFERROR(D7/D8-1,"")</f>
        <v/>
      </c>
      <c r="E9" s="27">
        <f>IFERROR(E7/E8-1,"")</f>
        <v/>
      </c>
      <c r="F9" s="27">
        <f>IFERROR(F7/F8-1,"")</f>
        <v/>
      </c>
      <c r="G9" s="27">
        <f>IFERROR(G7/G8-1,"")</f>
        <v/>
      </c>
      <c r="H9" s="27">
        <f>IFERROR(H7/H8-1,"")</f>
        <v/>
      </c>
      <c r="I9" s="27">
        <f>IFERROR(I7/I8-1,"")</f>
        <v/>
      </c>
      <c r="J9" s="27">
        <f>IFERROR(J7/J8-1,"")</f>
        <v/>
      </c>
      <c r="K9" s="28" t="n"/>
      <c r="L9" s="28" t="n"/>
    </row>
    <row r="11">
      <c r="A11" s="9" t="inlineStr">
        <is>
          <t>🗓 По завершённым неделям (26)</t>
        </is>
      </c>
    </row>
    <row r="12">
      <c r="A12" s="11" t="inlineStr">
        <is>
          <t>Неделя</t>
        </is>
      </c>
      <c r="B12" s="11" t="inlineStr">
        <is>
          <t>Расход</t>
        </is>
      </c>
      <c r="C12" s="11" t="inlineStr">
        <is>
          <t>Расход с НДС</t>
        </is>
      </c>
      <c r="D12" s="11" t="inlineStr">
        <is>
          <t>Показы</t>
        </is>
      </c>
      <c r="E12" s="11" t="inlineStr">
        <is>
          <t>Клики</t>
        </is>
      </c>
      <c r="F12" s="11" t="inlineStr">
        <is>
          <t>CTR</t>
        </is>
      </c>
      <c r="G12" s="11" t="inlineStr">
        <is>
          <t>CPC</t>
        </is>
      </c>
      <c r="H12" s="11" t="inlineStr">
        <is>
          <t>Подписки</t>
        </is>
      </c>
      <c r="I12" s="11" t="inlineStr">
        <is>
          <t>Цена подписки</t>
        </is>
      </c>
      <c r="J12" s="11" t="inlineStr">
        <is>
          <t>CR в подписку</t>
        </is>
      </c>
    </row>
    <row r="13">
      <c r="A13" s="29">
        <f>TEXT((($E$3-WEEKDAY($E$3,2)+1-7*(WEEKDAY($E$3,2)&lt;7))-7*25),"DD.MM")&amp;"–"&amp;TEXT((($E$3-WEEKDAY($E$3,2)+1-7*(WEEKDAY($E$3,2)&lt;7))-7*25)+6,"DD.MM.YYYY")</f>
        <v/>
      </c>
      <c r="B13" s="30">
        <f>SUMIFS('Данные'!$C:$C,'Данные'!$A:$A,"&gt;="&amp;(($E$3-WEEKDAY($E$3,2)+1-7*(WEEKDAY($E$3,2)&lt;7))-7*25),'Данные'!$A:$A,"&lt;"&amp;((($E$3-WEEKDAY($E$3,2)+1-7*(WEEKDAY($E$3,2)&lt;7))-7*25)+6)+1,'Данные'!$B:$B,$B$3)</f>
        <v/>
      </c>
      <c r="C13" s="30">
        <f>B13*(100+22)/100</f>
        <v/>
      </c>
      <c r="D13" s="31">
        <f>SUMIFS('Данные'!$D:$D,'Данные'!$A:$A,"&gt;="&amp;(($E$3-WEEKDAY($E$3,2)+1-7*(WEEKDAY($E$3,2)&lt;7))-7*25),'Данные'!$A:$A,"&lt;"&amp;((($E$3-WEEKDAY($E$3,2)+1-7*(WEEKDAY($E$3,2)&lt;7))-7*25)+6)+1,'Данные'!$B:$B,$B$3)</f>
        <v/>
      </c>
      <c r="E13" s="31">
        <f>SUMIFS('Данные'!$E:$E,'Данные'!$A:$A,"&gt;="&amp;(($E$3-WEEKDAY($E$3,2)+1-7*(WEEKDAY($E$3,2)&lt;7))-7*25),'Данные'!$A:$A,"&lt;"&amp;((($E$3-WEEKDAY($E$3,2)+1-7*(WEEKDAY($E$3,2)&lt;7))-7*25)+6)+1,'Данные'!$B:$B,$B$3)</f>
        <v/>
      </c>
      <c r="F13" s="32">
        <f>IFERROR(E13/D13,"")</f>
        <v/>
      </c>
      <c r="G13" s="33">
        <f>IFERROR(B13/E13,"")</f>
        <v/>
      </c>
      <c r="H13" s="31">
        <f>SUMIFS('Данные'!$F:$F,'Данные'!$A:$A,"&gt;="&amp;(($E$3-WEEKDAY($E$3,2)+1-7*(WEEKDAY($E$3,2)&lt;7))-7*25),'Данные'!$A:$A,"&lt;"&amp;((($E$3-WEEKDAY($E$3,2)+1-7*(WEEKDAY($E$3,2)&lt;7))-7*25)+6)+1,'Данные'!$B:$B,$B$3)</f>
        <v/>
      </c>
      <c r="I13" s="33">
        <f>IFERROR(B13/H13,"")</f>
        <v/>
      </c>
      <c r="J13" s="34">
        <f>IFERROR(H13/E13,"")</f>
        <v/>
      </c>
    </row>
    <row r="14">
      <c r="A14" s="36">
        <f>TEXT((($E$3-WEEKDAY($E$3,2)+1-7*(WEEKDAY($E$3,2)&lt;7))-7*24),"DD.MM")&amp;"–"&amp;TEXT((($E$3-WEEKDAY($E$3,2)+1-7*(WEEKDAY($E$3,2)&lt;7))-7*24)+6,"DD.MM.YYYY")</f>
        <v/>
      </c>
      <c r="B14" s="37">
        <f>SUMIFS('Данные'!$C:$C,'Данные'!$A:$A,"&gt;="&amp;(($E$3-WEEKDAY($E$3,2)+1-7*(WEEKDAY($E$3,2)&lt;7))-7*24),'Данные'!$A:$A,"&lt;"&amp;((($E$3-WEEKDAY($E$3,2)+1-7*(WEEKDAY($E$3,2)&lt;7))-7*24)+6)+1,'Данные'!$B:$B,$B$3)</f>
        <v/>
      </c>
      <c r="C14" s="37">
        <f>B14*(100+22)/100</f>
        <v/>
      </c>
      <c r="D14" s="38">
        <f>SUMIFS('Данные'!$D:$D,'Данные'!$A:$A,"&gt;="&amp;(($E$3-WEEKDAY($E$3,2)+1-7*(WEEKDAY($E$3,2)&lt;7))-7*24),'Данные'!$A:$A,"&lt;"&amp;((($E$3-WEEKDAY($E$3,2)+1-7*(WEEKDAY($E$3,2)&lt;7))-7*24)+6)+1,'Данные'!$B:$B,$B$3)</f>
        <v/>
      </c>
      <c r="E14" s="38">
        <f>SUMIFS('Данные'!$E:$E,'Данные'!$A:$A,"&gt;="&amp;(($E$3-WEEKDAY($E$3,2)+1-7*(WEEKDAY($E$3,2)&lt;7))-7*24),'Данные'!$A:$A,"&lt;"&amp;((($E$3-WEEKDAY($E$3,2)+1-7*(WEEKDAY($E$3,2)&lt;7))-7*24)+6)+1,'Данные'!$B:$B,$B$3)</f>
        <v/>
      </c>
      <c r="F14" s="39">
        <f>IFERROR(E14/D14,"")</f>
        <v/>
      </c>
      <c r="G14" s="40">
        <f>IFERROR(B14/E14,"")</f>
        <v/>
      </c>
      <c r="H14" s="38">
        <f>SUMIFS('Данные'!$F:$F,'Данные'!$A:$A,"&gt;="&amp;(($E$3-WEEKDAY($E$3,2)+1-7*(WEEKDAY($E$3,2)&lt;7))-7*24),'Данные'!$A:$A,"&lt;"&amp;((($E$3-WEEKDAY($E$3,2)+1-7*(WEEKDAY($E$3,2)&lt;7))-7*24)+6)+1,'Данные'!$B:$B,$B$3)</f>
        <v/>
      </c>
      <c r="I14" s="40">
        <f>IFERROR(B14/H14,"")</f>
        <v/>
      </c>
      <c r="J14" s="41">
        <f>IFERROR(H14/E14,"")</f>
        <v/>
      </c>
    </row>
    <row r="15">
      <c r="A15" s="29">
        <f>TEXT((($E$3-WEEKDAY($E$3,2)+1-7*(WEEKDAY($E$3,2)&lt;7))-7*23),"DD.MM")&amp;"–"&amp;TEXT((($E$3-WEEKDAY($E$3,2)+1-7*(WEEKDAY($E$3,2)&lt;7))-7*23)+6,"DD.MM.YYYY")</f>
        <v/>
      </c>
      <c r="B15" s="30">
        <f>SUMIFS('Данные'!$C:$C,'Данные'!$A:$A,"&gt;="&amp;(($E$3-WEEKDAY($E$3,2)+1-7*(WEEKDAY($E$3,2)&lt;7))-7*23),'Данные'!$A:$A,"&lt;"&amp;((($E$3-WEEKDAY($E$3,2)+1-7*(WEEKDAY($E$3,2)&lt;7))-7*23)+6)+1,'Данные'!$B:$B,$B$3)</f>
        <v/>
      </c>
      <c r="C15" s="30">
        <f>B15*(100+22)/100</f>
        <v/>
      </c>
      <c r="D15" s="31">
        <f>SUMIFS('Данные'!$D:$D,'Данные'!$A:$A,"&gt;="&amp;(($E$3-WEEKDAY($E$3,2)+1-7*(WEEKDAY($E$3,2)&lt;7))-7*23),'Данные'!$A:$A,"&lt;"&amp;((($E$3-WEEKDAY($E$3,2)+1-7*(WEEKDAY($E$3,2)&lt;7))-7*23)+6)+1,'Данные'!$B:$B,$B$3)</f>
        <v/>
      </c>
      <c r="E15" s="31">
        <f>SUMIFS('Данные'!$E:$E,'Данные'!$A:$A,"&gt;="&amp;(($E$3-WEEKDAY($E$3,2)+1-7*(WEEKDAY($E$3,2)&lt;7))-7*23),'Данные'!$A:$A,"&lt;"&amp;((($E$3-WEEKDAY($E$3,2)+1-7*(WEEKDAY($E$3,2)&lt;7))-7*23)+6)+1,'Данные'!$B:$B,$B$3)</f>
        <v/>
      </c>
      <c r="F15" s="32">
        <f>IFERROR(E15/D15,"")</f>
        <v/>
      </c>
      <c r="G15" s="33">
        <f>IFERROR(B15/E15,"")</f>
        <v/>
      </c>
      <c r="H15" s="31">
        <f>SUMIFS('Данные'!$F:$F,'Данные'!$A:$A,"&gt;="&amp;(($E$3-WEEKDAY($E$3,2)+1-7*(WEEKDAY($E$3,2)&lt;7))-7*23),'Данные'!$A:$A,"&lt;"&amp;((($E$3-WEEKDAY($E$3,2)+1-7*(WEEKDAY($E$3,2)&lt;7))-7*23)+6)+1,'Данные'!$B:$B,$B$3)</f>
        <v/>
      </c>
      <c r="I15" s="33">
        <f>IFERROR(B15/H15,"")</f>
        <v/>
      </c>
      <c r="J15" s="34">
        <f>IFERROR(H15/E15,"")</f>
        <v/>
      </c>
    </row>
    <row r="16">
      <c r="A16" s="36">
        <f>TEXT((($E$3-WEEKDAY($E$3,2)+1-7*(WEEKDAY($E$3,2)&lt;7))-7*22),"DD.MM")&amp;"–"&amp;TEXT((($E$3-WEEKDAY($E$3,2)+1-7*(WEEKDAY($E$3,2)&lt;7))-7*22)+6,"DD.MM.YYYY")</f>
        <v/>
      </c>
      <c r="B16" s="37">
        <f>SUMIFS('Данные'!$C:$C,'Данные'!$A:$A,"&gt;="&amp;(($E$3-WEEKDAY($E$3,2)+1-7*(WEEKDAY($E$3,2)&lt;7))-7*22),'Данные'!$A:$A,"&lt;"&amp;((($E$3-WEEKDAY($E$3,2)+1-7*(WEEKDAY($E$3,2)&lt;7))-7*22)+6)+1,'Данные'!$B:$B,$B$3)</f>
        <v/>
      </c>
      <c r="C16" s="37">
        <f>B16*(100+22)/100</f>
        <v/>
      </c>
      <c r="D16" s="38">
        <f>SUMIFS('Данные'!$D:$D,'Данные'!$A:$A,"&gt;="&amp;(($E$3-WEEKDAY($E$3,2)+1-7*(WEEKDAY($E$3,2)&lt;7))-7*22),'Данные'!$A:$A,"&lt;"&amp;((($E$3-WEEKDAY($E$3,2)+1-7*(WEEKDAY($E$3,2)&lt;7))-7*22)+6)+1,'Данные'!$B:$B,$B$3)</f>
        <v/>
      </c>
      <c r="E16" s="38">
        <f>SUMIFS('Данные'!$E:$E,'Данные'!$A:$A,"&gt;="&amp;(($E$3-WEEKDAY($E$3,2)+1-7*(WEEKDAY($E$3,2)&lt;7))-7*22),'Данные'!$A:$A,"&lt;"&amp;((($E$3-WEEKDAY($E$3,2)+1-7*(WEEKDAY($E$3,2)&lt;7))-7*22)+6)+1,'Данные'!$B:$B,$B$3)</f>
        <v/>
      </c>
      <c r="F16" s="39">
        <f>IFERROR(E16/D16,"")</f>
        <v/>
      </c>
      <c r="G16" s="40">
        <f>IFERROR(B16/E16,"")</f>
        <v/>
      </c>
      <c r="H16" s="38">
        <f>SUMIFS('Данные'!$F:$F,'Данные'!$A:$A,"&gt;="&amp;(($E$3-WEEKDAY($E$3,2)+1-7*(WEEKDAY($E$3,2)&lt;7))-7*22),'Данные'!$A:$A,"&lt;"&amp;((($E$3-WEEKDAY($E$3,2)+1-7*(WEEKDAY($E$3,2)&lt;7))-7*22)+6)+1,'Данные'!$B:$B,$B$3)</f>
        <v/>
      </c>
      <c r="I16" s="40">
        <f>IFERROR(B16/H16,"")</f>
        <v/>
      </c>
      <c r="J16" s="41">
        <f>IFERROR(H16/E16,"")</f>
        <v/>
      </c>
    </row>
    <row r="17">
      <c r="A17" s="29">
        <f>TEXT((($E$3-WEEKDAY($E$3,2)+1-7*(WEEKDAY($E$3,2)&lt;7))-7*21),"DD.MM")&amp;"–"&amp;TEXT((($E$3-WEEKDAY($E$3,2)+1-7*(WEEKDAY($E$3,2)&lt;7))-7*21)+6,"DD.MM.YYYY")</f>
        <v/>
      </c>
      <c r="B17" s="30">
        <f>SUMIFS('Данные'!$C:$C,'Данные'!$A:$A,"&gt;="&amp;(($E$3-WEEKDAY($E$3,2)+1-7*(WEEKDAY($E$3,2)&lt;7))-7*21),'Данные'!$A:$A,"&lt;"&amp;((($E$3-WEEKDAY($E$3,2)+1-7*(WEEKDAY($E$3,2)&lt;7))-7*21)+6)+1,'Данные'!$B:$B,$B$3)</f>
        <v/>
      </c>
      <c r="C17" s="30">
        <f>B17*(100+22)/100</f>
        <v/>
      </c>
      <c r="D17" s="31">
        <f>SUMIFS('Данные'!$D:$D,'Данные'!$A:$A,"&gt;="&amp;(($E$3-WEEKDAY($E$3,2)+1-7*(WEEKDAY($E$3,2)&lt;7))-7*21),'Данные'!$A:$A,"&lt;"&amp;((($E$3-WEEKDAY($E$3,2)+1-7*(WEEKDAY($E$3,2)&lt;7))-7*21)+6)+1,'Данные'!$B:$B,$B$3)</f>
        <v/>
      </c>
      <c r="E17" s="31">
        <f>SUMIFS('Данные'!$E:$E,'Данные'!$A:$A,"&gt;="&amp;(($E$3-WEEKDAY($E$3,2)+1-7*(WEEKDAY($E$3,2)&lt;7))-7*21),'Данные'!$A:$A,"&lt;"&amp;((($E$3-WEEKDAY($E$3,2)+1-7*(WEEKDAY($E$3,2)&lt;7))-7*21)+6)+1,'Данные'!$B:$B,$B$3)</f>
        <v/>
      </c>
      <c r="F17" s="32">
        <f>IFERROR(E17/D17,"")</f>
        <v/>
      </c>
      <c r="G17" s="33">
        <f>IFERROR(B17/E17,"")</f>
        <v/>
      </c>
      <c r="H17" s="31">
        <f>SUMIFS('Данные'!$F:$F,'Данные'!$A:$A,"&gt;="&amp;(($E$3-WEEKDAY($E$3,2)+1-7*(WEEKDAY($E$3,2)&lt;7))-7*21),'Данные'!$A:$A,"&lt;"&amp;((($E$3-WEEKDAY($E$3,2)+1-7*(WEEKDAY($E$3,2)&lt;7))-7*21)+6)+1,'Данные'!$B:$B,$B$3)</f>
        <v/>
      </c>
      <c r="I17" s="33">
        <f>IFERROR(B17/H17,"")</f>
        <v/>
      </c>
      <c r="J17" s="34">
        <f>IFERROR(H17/E17,"")</f>
        <v/>
      </c>
    </row>
    <row r="18">
      <c r="A18" s="36">
        <f>TEXT((($E$3-WEEKDAY($E$3,2)+1-7*(WEEKDAY($E$3,2)&lt;7))-7*20),"DD.MM")&amp;"–"&amp;TEXT((($E$3-WEEKDAY($E$3,2)+1-7*(WEEKDAY($E$3,2)&lt;7))-7*20)+6,"DD.MM.YYYY")</f>
        <v/>
      </c>
      <c r="B18" s="37">
        <f>SUMIFS('Данные'!$C:$C,'Данные'!$A:$A,"&gt;="&amp;(($E$3-WEEKDAY($E$3,2)+1-7*(WEEKDAY($E$3,2)&lt;7))-7*20),'Данные'!$A:$A,"&lt;"&amp;((($E$3-WEEKDAY($E$3,2)+1-7*(WEEKDAY($E$3,2)&lt;7))-7*20)+6)+1,'Данные'!$B:$B,$B$3)</f>
        <v/>
      </c>
      <c r="C18" s="37">
        <f>B18*(100+22)/100</f>
        <v/>
      </c>
      <c r="D18" s="38">
        <f>SUMIFS('Данные'!$D:$D,'Данные'!$A:$A,"&gt;="&amp;(($E$3-WEEKDAY($E$3,2)+1-7*(WEEKDAY($E$3,2)&lt;7))-7*20),'Данные'!$A:$A,"&lt;"&amp;((($E$3-WEEKDAY($E$3,2)+1-7*(WEEKDAY($E$3,2)&lt;7))-7*20)+6)+1,'Данные'!$B:$B,$B$3)</f>
        <v/>
      </c>
      <c r="E18" s="38">
        <f>SUMIFS('Данные'!$E:$E,'Данные'!$A:$A,"&gt;="&amp;(($E$3-WEEKDAY($E$3,2)+1-7*(WEEKDAY($E$3,2)&lt;7))-7*20),'Данные'!$A:$A,"&lt;"&amp;((($E$3-WEEKDAY($E$3,2)+1-7*(WEEKDAY($E$3,2)&lt;7))-7*20)+6)+1,'Данные'!$B:$B,$B$3)</f>
        <v/>
      </c>
      <c r="F18" s="39">
        <f>IFERROR(E18/D18,"")</f>
        <v/>
      </c>
      <c r="G18" s="40">
        <f>IFERROR(B18/E18,"")</f>
        <v/>
      </c>
      <c r="H18" s="38">
        <f>SUMIFS('Данные'!$F:$F,'Данные'!$A:$A,"&gt;="&amp;(($E$3-WEEKDAY($E$3,2)+1-7*(WEEKDAY($E$3,2)&lt;7))-7*20),'Данные'!$A:$A,"&lt;"&amp;((($E$3-WEEKDAY($E$3,2)+1-7*(WEEKDAY($E$3,2)&lt;7))-7*20)+6)+1,'Данные'!$B:$B,$B$3)</f>
        <v/>
      </c>
      <c r="I18" s="40">
        <f>IFERROR(B18/H18,"")</f>
        <v/>
      </c>
      <c r="J18" s="41">
        <f>IFERROR(H18/E18,"")</f>
        <v/>
      </c>
    </row>
    <row r="19">
      <c r="A19" s="29">
        <f>TEXT((($E$3-WEEKDAY($E$3,2)+1-7*(WEEKDAY($E$3,2)&lt;7))-7*19),"DD.MM")&amp;"–"&amp;TEXT((($E$3-WEEKDAY($E$3,2)+1-7*(WEEKDAY($E$3,2)&lt;7))-7*19)+6,"DD.MM.YYYY")</f>
        <v/>
      </c>
      <c r="B19" s="30">
        <f>SUMIFS('Данные'!$C:$C,'Данные'!$A:$A,"&gt;="&amp;(($E$3-WEEKDAY($E$3,2)+1-7*(WEEKDAY($E$3,2)&lt;7))-7*19),'Данные'!$A:$A,"&lt;"&amp;((($E$3-WEEKDAY($E$3,2)+1-7*(WEEKDAY($E$3,2)&lt;7))-7*19)+6)+1,'Данные'!$B:$B,$B$3)</f>
        <v/>
      </c>
      <c r="C19" s="30">
        <f>B19*(100+22)/100</f>
        <v/>
      </c>
      <c r="D19" s="31">
        <f>SUMIFS('Данные'!$D:$D,'Данные'!$A:$A,"&gt;="&amp;(($E$3-WEEKDAY($E$3,2)+1-7*(WEEKDAY($E$3,2)&lt;7))-7*19),'Данные'!$A:$A,"&lt;"&amp;((($E$3-WEEKDAY($E$3,2)+1-7*(WEEKDAY($E$3,2)&lt;7))-7*19)+6)+1,'Данные'!$B:$B,$B$3)</f>
        <v/>
      </c>
      <c r="E19" s="31">
        <f>SUMIFS('Данные'!$E:$E,'Данные'!$A:$A,"&gt;="&amp;(($E$3-WEEKDAY($E$3,2)+1-7*(WEEKDAY($E$3,2)&lt;7))-7*19),'Данные'!$A:$A,"&lt;"&amp;((($E$3-WEEKDAY($E$3,2)+1-7*(WEEKDAY($E$3,2)&lt;7))-7*19)+6)+1,'Данные'!$B:$B,$B$3)</f>
        <v/>
      </c>
      <c r="F19" s="32">
        <f>IFERROR(E19/D19,"")</f>
        <v/>
      </c>
      <c r="G19" s="33">
        <f>IFERROR(B19/E19,"")</f>
        <v/>
      </c>
      <c r="H19" s="31">
        <f>SUMIFS('Данные'!$F:$F,'Данные'!$A:$A,"&gt;="&amp;(($E$3-WEEKDAY($E$3,2)+1-7*(WEEKDAY($E$3,2)&lt;7))-7*19),'Данные'!$A:$A,"&lt;"&amp;((($E$3-WEEKDAY($E$3,2)+1-7*(WEEKDAY($E$3,2)&lt;7))-7*19)+6)+1,'Данные'!$B:$B,$B$3)</f>
        <v/>
      </c>
      <c r="I19" s="33">
        <f>IFERROR(B19/H19,"")</f>
        <v/>
      </c>
      <c r="J19" s="34">
        <f>IFERROR(H19/E19,"")</f>
        <v/>
      </c>
    </row>
    <row r="20">
      <c r="A20" s="36">
        <f>TEXT((($E$3-WEEKDAY($E$3,2)+1-7*(WEEKDAY($E$3,2)&lt;7))-7*18),"DD.MM")&amp;"–"&amp;TEXT((($E$3-WEEKDAY($E$3,2)+1-7*(WEEKDAY($E$3,2)&lt;7))-7*18)+6,"DD.MM.YYYY")</f>
        <v/>
      </c>
      <c r="B20" s="37">
        <f>SUMIFS('Данные'!$C:$C,'Данные'!$A:$A,"&gt;="&amp;(($E$3-WEEKDAY($E$3,2)+1-7*(WEEKDAY($E$3,2)&lt;7))-7*18),'Данные'!$A:$A,"&lt;"&amp;((($E$3-WEEKDAY($E$3,2)+1-7*(WEEKDAY($E$3,2)&lt;7))-7*18)+6)+1,'Данные'!$B:$B,$B$3)</f>
        <v/>
      </c>
      <c r="C20" s="37">
        <f>B20*(100+22)/100</f>
        <v/>
      </c>
      <c r="D20" s="38">
        <f>SUMIFS('Данные'!$D:$D,'Данные'!$A:$A,"&gt;="&amp;(($E$3-WEEKDAY($E$3,2)+1-7*(WEEKDAY($E$3,2)&lt;7))-7*18),'Данные'!$A:$A,"&lt;"&amp;((($E$3-WEEKDAY($E$3,2)+1-7*(WEEKDAY($E$3,2)&lt;7))-7*18)+6)+1,'Данные'!$B:$B,$B$3)</f>
        <v/>
      </c>
      <c r="E20" s="38">
        <f>SUMIFS('Данные'!$E:$E,'Данные'!$A:$A,"&gt;="&amp;(($E$3-WEEKDAY($E$3,2)+1-7*(WEEKDAY($E$3,2)&lt;7))-7*18),'Данные'!$A:$A,"&lt;"&amp;((($E$3-WEEKDAY($E$3,2)+1-7*(WEEKDAY($E$3,2)&lt;7))-7*18)+6)+1,'Данные'!$B:$B,$B$3)</f>
        <v/>
      </c>
      <c r="F20" s="39">
        <f>IFERROR(E20/D20,"")</f>
        <v/>
      </c>
      <c r="G20" s="40">
        <f>IFERROR(B20/E20,"")</f>
        <v/>
      </c>
      <c r="H20" s="38">
        <f>SUMIFS('Данные'!$F:$F,'Данные'!$A:$A,"&gt;="&amp;(($E$3-WEEKDAY($E$3,2)+1-7*(WEEKDAY($E$3,2)&lt;7))-7*18),'Данные'!$A:$A,"&lt;"&amp;((($E$3-WEEKDAY($E$3,2)+1-7*(WEEKDAY($E$3,2)&lt;7))-7*18)+6)+1,'Данные'!$B:$B,$B$3)</f>
        <v/>
      </c>
      <c r="I20" s="40">
        <f>IFERROR(B20/H20,"")</f>
        <v/>
      </c>
      <c r="J20" s="41">
        <f>IFERROR(H20/E20,"")</f>
        <v/>
      </c>
    </row>
    <row r="21">
      <c r="A21" s="29">
        <f>TEXT((($E$3-WEEKDAY($E$3,2)+1-7*(WEEKDAY($E$3,2)&lt;7))-7*17),"DD.MM")&amp;"–"&amp;TEXT((($E$3-WEEKDAY($E$3,2)+1-7*(WEEKDAY($E$3,2)&lt;7))-7*17)+6,"DD.MM.YYYY")</f>
        <v/>
      </c>
      <c r="B21" s="30">
        <f>SUMIFS('Данные'!$C:$C,'Данные'!$A:$A,"&gt;="&amp;(($E$3-WEEKDAY($E$3,2)+1-7*(WEEKDAY($E$3,2)&lt;7))-7*17),'Данные'!$A:$A,"&lt;"&amp;((($E$3-WEEKDAY($E$3,2)+1-7*(WEEKDAY($E$3,2)&lt;7))-7*17)+6)+1,'Данные'!$B:$B,$B$3)</f>
        <v/>
      </c>
      <c r="C21" s="30">
        <f>B21*(100+22)/100</f>
        <v/>
      </c>
      <c r="D21" s="31">
        <f>SUMIFS('Данные'!$D:$D,'Данные'!$A:$A,"&gt;="&amp;(($E$3-WEEKDAY($E$3,2)+1-7*(WEEKDAY($E$3,2)&lt;7))-7*17),'Данные'!$A:$A,"&lt;"&amp;((($E$3-WEEKDAY($E$3,2)+1-7*(WEEKDAY($E$3,2)&lt;7))-7*17)+6)+1,'Данные'!$B:$B,$B$3)</f>
        <v/>
      </c>
      <c r="E21" s="31">
        <f>SUMIFS('Данные'!$E:$E,'Данные'!$A:$A,"&gt;="&amp;(($E$3-WEEKDAY($E$3,2)+1-7*(WEEKDAY($E$3,2)&lt;7))-7*17),'Данные'!$A:$A,"&lt;"&amp;((($E$3-WEEKDAY($E$3,2)+1-7*(WEEKDAY($E$3,2)&lt;7))-7*17)+6)+1,'Данные'!$B:$B,$B$3)</f>
        <v/>
      </c>
      <c r="F21" s="32">
        <f>IFERROR(E21/D21,"")</f>
        <v/>
      </c>
      <c r="G21" s="33">
        <f>IFERROR(B21/E21,"")</f>
        <v/>
      </c>
      <c r="H21" s="31">
        <f>SUMIFS('Данные'!$F:$F,'Данные'!$A:$A,"&gt;="&amp;(($E$3-WEEKDAY($E$3,2)+1-7*(WEEKDAY($E$3,2)&lt;7))-7*17),'Данные'!$A:$A,"&lt;"&amp;((($E$3-WEEKDAY($E$3,2)+1-7*(WEEKDAY($E$3,2)&lt;7))-7*17)+6)+1,'Данные'!$B:$B,$B$3)</f>
        <v/>
      </c>
      <c r="I21" s="33">
        <f>IFERROR(B21/H21,"")</f>
        <v/>
      </c>
      <c r="J21" s="34">
        <f>IFERROR(H21/E21,"")</f>
        <v/>
      </c>
    </row>
    <row r="22">
      <c r="A22" s="36">
        <f>TEXT((($E$3-WEEKDAY($E$3,2)+1-7*(WEEKDAY($E$3,2)&lt;7))-7*16),"DD.MM")&amp;"–"&amp;TEXT((($E$3-WEEKDAY($E$3,2)+1-7*(WEEKDAY($E$3,2)&lt;7))-7*16)+6,"DD.MM.YYYY")</f>
        <v/>
      </c>
      <c r="B22" s="37">
        <f>SUMIFS('Данные'!$C:$C,'Данные'!$A:$A,"&gt;="&amp;(($E$3-WEEKDAY($E$3,2)+1-7*(WEEKDAY($E$3,2)&lt;7))-7*16),'Данные'!$A:$A,"&lt;"&amp;((($E$3-WEEKDAY($E$3,2)+1-7*(WEEKDAY($E$3,2)&lt;7))-7*16)+6)+1,'Данные'!$B:$B,$B$3)</f>
        <v/>
      </c>
      <c r="C22" s="37">
        <f>B22*(100+22)/100</f>
        <v/>
      </c>
      <c r="D22" s="38">
        <f>SUMIFS('Данные'!$D:$D,'Данные'!$A:$A,"&gt;="&amp;(($E$3-WEEKDAY($E$3,2)+1-7*(WEEKDAY($E$3,2)&lt;7))-7*16),'Данные'!$A:$A,"&lt;"&amp;((($E$3-WEEKDAY($E$3,2)+1-7*(WEEKDAY($E$3,2)&lt;7))-7*16)+6)+1,'Данные'!$B:$B,$B$3)</f>
        <v/>
      </c>
      <c r="E22" s="38">
        <f>SUMIFS('Данные'!$E:$E,'Данные'!$A:$A,"&gt;="&amp;(($E$3-WEEKDAY($E$3,2)+1-7*(WEEKDAY($E$3,2)&lt;7))-7*16),'Данные'!$A:$A,"&lt;"&amp;((($E$3-WEEKDAY($E$3,2)+1-7*(WEEKDAY($E$3,2)&lt;7))-7*16)+6)+1,'Данные'!$B:$B,$B$3)</f>
        <v/>
      </c>
      <c r="F22" s="39">
        <f>IFERROR(E22/D22,"")</f>
        <v/>
      </c>
      <c r="G22" s="40">
        <f>IFERROR(B22/E22,"")</f>
        <v/>
      </c>
      <c r="H22" s="38">
        <f>SUMIFS('Данные'!$F:$F,'Данные'!$A:$A,"&gt;="&amp;(($E$3-WEEKDAY($E$3,2)+1-7*(WEEKDAY($E$3,2)&lt;7))-7*16),'Данные'!$A:$A,"&lt;"&amp;((($E$3-WEEKDAY($E$3,2)+1-7*(WEEKDAY($E$3,2)&lt;7))-7*16)+6)+1,'Данные'!$B:$B,$B$3)</f>
        <v/>
      </c>
      <c r="I22" s="40">
        <f>IFERROR(B22/H22,"")</f>
        <v/>
      </c>
      <c r="J22" s="41">
        <f>IFERROR(H22/E22,"")</f>
        <v/>
      </c>
    </row>
    <row r="23">
      <c r="A23" s="29">
        <f>TEXT((($E$3-WEEKDAY($E$3,2)+1-7*(WEEKDAY($E$3,2)&lt;7))-7*15),"DD.MM")&amp;"–"&amp;TEXT((($E$3-WEEKDAY($E$3,2)+1-7*(WEEKDAY($E$3,2)&lt;7))-7*15)+6,"DD.MM.YYYY")</f>
        <v/>
      </c>
      <c r="B23" s="30">
        <f>SUMIFS('Данные'!$C:$C,'Данные'!$A:$A,"&gt;="&amp;(($E$3-WEEKDAY($E$3,2)+1-7*(WEEKDAY($E$3,2)&lt;7))-7*15),'Данные'!$A:$A,"&lt;"&amp;((($E$3-WEEKDAY($E$3,2)+1-7*(WEEKDAY($E$3,2)&lt;7))-7*15)+6)+1,'Данные'!$B:$B,$B$3)</f>
        <v/>
      </c>
      <c r="C23" s="30">
        <f>B23*(100+22)/100</f>
        <v/>
      </c>
      <c r="D23" s="31">
        <f>SUMIFS('Данные'!$D:$D,'Данные'!$A:$A,"&gt;="&amp;(($E$3-WEEKDAY($E$3,2)+1-7*(WEEKDAY($E$3,2)&lt;7))-7*15),'Данные'!$A:$A,"&lt;"&amp;((($E$3-WEEKDAY($E$3,2)+1-7*(WEEKDAY($E$3,2)&lt;7))-7*15)+6)+1,'Данные'!$B:$B,$B$3)</f>
        <v/>
      </c>
      <c r="E23" s="31">
        <f>SUMIFS('Данные'!$E:$E,'Данные'!$A:$A,"&gt;="&amp;(($E$3-WEEKDAY($E$3,2)+1-7*(WEEKDAY($E$3,2)&lt;7))-7*15),'Данные'!$A:$A,"&lt;"&amp;((($E$3-WEEKDAY($E$3,2)+1-7*(WEEKDAY($E$3,2)&lt;7))-7*15)+6)+1,'Данные'!$B:$B,$B$3)</f>
        <v/>
      </c>
      <c r="F23" s="32">
        <f>IFERROR(E23/D23,"")</f>
        <v/>
      </c>
      <c r="G23" s="33">
        <f>IFERROR(B23/E23,"")</f>
        <v/>
      </c>
      <c r="H23" s="31">
        <f>SUMIFS('Данные'!$F:$F,'Данные'!$A:$A,"&gt;="&amp;(($E$3-WEEKDAY($E$3,2)+1-7*(WEEKDAY($E$3,2)&lt;7))-7*15),'Данные'!$A:$A,"&lt;"&amp;((($E$3-WEEKDAY($E$3,2)+1-7*(WEEKDAY($E$3,2)&lt;7))-7*15)+6)+1,'Данные'!$B:$B,$B$3)</f>
        <v/>
      </c>
      <c r="I23" s="33">
        <f>IFERROR(B23/H23,"")</f>
        <v/>
      </c>
      <c r="J23" s="34">
        <f>IFERROR(H23/E23,"")</f>
        <v/>
      </c>
    </row>
    <row r="24">
      <c r="A24" s="36">
        <f>TEXT((($E$3-WEEKDAY($E$3,2)+1-7*(WEEKDAY($E$3,2)&lt;7))-7*14),"DD.MM")&amp;"–"&amp;TEXT((($E$3-WEEKDAY($E$3,2)+1-7*(WEEKDAY($E$3,2)&lt;7))-7*14)+6,"DD.MM.YYYY")</f>
        <v/>
      </c>
      <c r="B24" s="37">
        <f>SUMIFS('Данные'!$C:$C,'Данные'!$A:$A,"&gt;="&amp;(($E$3-WEEKDAY($E$3,2)+1-7*(WEEKDAY($E$3,2)&lt;7))-7*14),'Данные'!$A:$A,"&lt;"&amp;((($E$3-WEEKDAY($E$3,2)+1-7*(WEEKDAY($E$3,2)&lt;7))-7*14)+6)+1,'Данные'!$B:$B,$B$3)</f>
        <v/>
      </c>
      <c r="C24" s="37">
        <f>B24*(100+22)/100</f>
        <v/>
      </c>
      <c r="D24" s="38">
        <f>SUMIFS('Данные'!$D:$D,'Данные'!$A:$A,"&gt;="&amp;(($E$3-WEEKDAY($E$3,2)+1-7*(WEEKDAY($E$3,2)&lt;7))-7*14),'Данные'!$A:$A,"&lt;"&amp;((($E$3-WEEKDAY($E$3,2)+1-7*(WEEKDAY($E$3,2)&lt;7))-7*14)+6)+1,'Данные'!$B:$B,$B$3)</f>
        <v/>
      </c>
      <c r="E24" s="38">
        <f>SUMIFS('Данные'!$E:$E,'Данные'!$A:$A,"&gt;="&amp;(($E$3-WEEKDAY($E$3,2)+1-7*(WEEKDAY($E$3,2)&lt;7))-7*14),'Данные'!$A:$A,"&lt;"&amp;((($E$3-WEEKDAY($E$3,2)+1-7*(WEEKDAY($E$3,2)&lt;7))-7*14)+6)+1,'Данные'!$B:$B,$B$3)</f>
        <v/>
      </c>
      <c r="F24" s="39">
        <f>IFERROR(E24/D24,"")</f>
        <v/>
      </c>
      <c r="G24" s="40">
        <f>IFERROR(B24/E24,"")</f>
        <v/>
      </c>
      <c r="H24" s="38">
        <f>SUMIFS('Данные'!$F:$F,'Данные'!$A:$A,"&gt;="&amp;(($E$3-WEEKDAY($E$3,2)+1-7*(WEEKDAY($E$3,2)&lt;7))-7*14),'Данные'!$A:$A,"&lt;"&amp;((($E$3-WEEKDAY($E$3,2)+1-7*(WEEKDAY($E$3,2)&lt;7))-7*14)+6)+1,'Данные'!$B:$B,$B$3)</f>
        <v/>
      </c>
      <c r="I24" s="40">
        <f>IFERROR(B24/H24,"")</f>
        <v/>
      </c>
      <c r="J24" s="41">
        <f>IFERROR(H24/E24,"")</f>
        <v/>
      </c>
    </row>
    <row r="25">
      <c r="A25" s="29">
        <f>TEXT((($E$3-WEEKDAY($E$3,2)+1-7*(WEEKDAY($E$3,2)&lt;7))-7*13),"DD.MM")&amp;"–"&amp;TEXT((($E$3-WEEKDAY($E$3,2)+1-7*(WEEKDAY($E$3,2)&lt;7))-7*13)+6,"DD.MM.YYYY")</f>
        <v/>
      </c>
      <c r="B25" s="30">
        <f>SUMIFS('Данные'!$C:$C,'Данные'!$A:$A,"&gt;="&amp;(($E$3-WEEKDAY($E$3,2)+1-7*(WEEKDAY($E$3,2)&lt;7))-7*13),'Данные'!$A:$A,"&lt;"&amp;((($E$3-WEEKDAY($E$3,2)+1-7*(WEEKDAY($E$3,2)&lt;7))-7*13)+6)+1,'Данные'!$B:$B,$B$3)</f>
        <v/>
      </c>
      <c r="C25" s="30">
        <f>B25*(100+22)/100</f>
        <v/>
      </c>
      <c r="D25" s="31">
        <f>SUMIFS('Данные'!$D:$D,'Данные'!$A:$A,"&gt;="&amp;(($E$3-WEEKDAY($E$3,2)+1-7*(WEEKDAY($E$3,2)&lt;7))-7*13),'Данные'!$A:$A,"&lt;"&amp;((($E$3-WEEKDAY($E$3,2)+1-7*(WEEKDAY($E$3,2)&lt;7))-7*13)+6)+1,'Данные'!$B:$B,$B$3)</f>
        <v/>
      </c>
      <c r="E25" s="31">
        <f>SUMIFS('Данные'!$E:$E,'Данные'!$A:$A,"&gt;="&amp;(($E$3-WEEKDAY($E$3,2)+1-7*(WEEKDAY($E$3,2)&lt;7))-7*13),'Данные'!$A:$A,"&lt;"&amp;((($E$3-WEEKDAY($E$3,2)+1-7*(WEEKDAY($E$3,2)&lt;7))-7*13)+6)+1,'Данные'!$B:$B,$B$3)</f>
        <v/>
      </c>
      <c r="F25" s="32">
        <f>IFERROR(E25/D25,"")</f>
        <v/>
      </c>
      <c r="G25" s="33">
        <f>IFERROR(B25/E25,"")</f>
        <v/>
      </c>
      <c r="H25" s="31">
        <f>SUMIFS('Данные'!$F:$F,'Данные'!$A:$A,"&gt;="&amp;(($E$3-WEEKDAY($E$3,2)+1-7*(WEEKDAY($E$3,2)&lt;7))-7*13),'Данные'!$A:$A,"&lt;"&amp;((($E$3-WEEKDAY($E$3,2)+1-7*(WEEKDAY($E$3,2)&lt;7))-7*13)+6)+1,'Данные'!$B:$B,$B$3)</f>
        <v/>
      </c>
      <c r="I25" s="33">
        <f>IFERROR(B25/H25,"")</f>
        <v/>
      </c>
      <c r="J25" s="34">
        <f>IFERROR(H25/E25,"")</f>
        <v/>
      </c>
    </row>
    <row r="26">
      <c r="A26" s="36">
        <f>TEXT((($E$3-WEEKDAY($E$3,2)+1-7*(WEEKDAY($E$3,2)&lt;7))-7*12),"DD.MM")&amp;"–"&amp;TEXT((($E$3-WEEKDAY($E$3,2)+1-7*(WEEKDAY($E$3,2)&lt;7))-7*12)+6,"DD.MM.YYYY")</f>
        <v/>
      </c>
      <c r="B26" s="37">
        <f>SUMIFS('Данные'!$C:$C,'Данные'!$A:$A,"&gt;="&amp;(($E$3-WEEKDAY($E$3,2)+1-7*(WEEKDAY($E$3,2)&lt;7))-7*12),'Данные'!$A:$A,"&lt;"&amp;((($E$3-WEEKDAY($E$3,2)+1-7*(WEEKDAY($E$3,2)&lt;7))-7*12)+6)+1,'Данные'!$B:$B,$B$3)</f>
        <v/>
      </c>
      <c r="C26" s="37">
        <f>B26*(100+22)/100</f>
        <v/>
      </c>
      <c r="D26" s="38">
        <f>SUMIFS('Данные'!$D:$D,'Данные'!$A:$A,"&gt;="&amp;(($E$3-WEEKDAY($E$3,2)+1-7*(WEEKDAY($E$3,2)&lt;7))-7*12),'Данные'!$A:$A,"&lt;"&amp;((($E$3-WEEKDAY($E$3,2)+1-7*(WEEKDAY($E$3,2)&lt;7))-7*12)+6)+1,'Данные'!$B:$B,$B$3)</f>
        <v/>
      </c>
      <c r="E26" s="38">
        <f>SUMIFS('Данные'!$E:$E,'Данные'!$A:$A,"&gt;="&amp;(($E$3-WEEKDAY($E$3,2)+1-7*(WEEKDAY($E$3,2)&lt;7))-7*12),'Данные'!$A:$A,"&lt;"&amp;((($E$3-WEEKDAY($E$3,2)+1-7*(WEEKDAY($E$3,2)&lt;7))-7*12)+6)+1,'Данные'!$B:$B,$B$3)</f>
        <v/>
      </c>
      <c r="F26" s="39">
        <f>IFERROR(E26/D26,"")</f>
        <v/>
      </c>
      <c r="G26" s="40">
        <f>IFERROR(B26/E26,"")</f>
        <v/>
      </c>
      <c r="H26" s="38">
        <f>SUMIFS('Данные'!$F:$F,'Данные'!$A:$A,"&gt;="&amp;(($E$3-WEEKDAY($E$3,2)+1-7*(WEEKDAY($E$3,2)&lt;7))-7*12),'Данные'!$A:$A,"&lt;"&amp;((($E$3-WEEKDAY($E$3,2)+1-7*(WEEKDAY($E$3,2)&lt;7))-7*12)+6)+1,'Данные'!$B:$B,$B$3)</f>
        <v/>
      </c>
      <c r="I26" s="40">
        <f>IFERROR(B26/H26,"")</f>
        <v/>
      </c>
      <c r="J26" s="41">
        <f>IFERROR(H26/E26,"")</f>
        <v/>
      </c>
    </row>
    <row r="27">
      <c r="A27" s="29">
        <f>TEXT((($E$3-WEEKDAY($E$3,2)+1-7*(WEEKDAY($E$3,2)&lt;7))-7*11),"DD.MM")&amp;"–"&amp;TEXT((($E$3-WEEKDAY($E$3,2)+1-7*(WEEKDAY($E$3,2)&lt;7))-7*11)+6,"DD.MM.YYYY")</f>
        <v/>
      </c>
      <c r="B27" s="30">
        <f>SUMIFS('Данные'!$C:$C,'Данные'!$A:$A,"&gt;="&amp;(($E$3-WEEKDAY($E$3,2)+1-7*(WEEKDAY($E$3,2)&lt;7))-7*11),'Данные'!$A:$A,"&lt;"&amp;((($E$3-WEEKDAY($E$3,2)+1-7*(WEEKDAY($E$3,2)&lt;7))-7*11)+6)+1,'Данные'!$B:$B,$B$3)</f>
        <v/>
      </c>
      <c r="C27" s="30">
        <f>B27*(100+22)/100</f>
        <v/>
      </c>
      <c r="D27" s="31">
        <f>SUMIFS('Данные'!$D:$D,'Данные'!$A:$A,"&gt;="&amp;(($E$3-WEEKDAY($E$3,2)+1-7*(WEEKDAY($E$3,2)&lt;7))-7*11),'Данные'!$A:$A,"&lt;"&amp;((($E$3-WEEKDAY($E$3,2)+1-7*(WEEKDAY($E$3,2)&lt;7))-7*11)+6)+1,'Данные'!$B:$B,$B$3)</f>
        <v/>
      </c>
      <c r="E27" s="31">
        <f>SUMIFS('Данные'!$E:$E,'Данные'!$A:$A,"&gt;="&amp;(($E$3-WEEKDAY($E$3,2)+1-7*(WEEKDAY($E$3,2)&lt;7))-7*11),'Данные'!$A:$A,"&lt;"&amp;((($E$3-WEEKDAY($E$3,2)+1-7*(WEEKDAY($E$3,2)&lt;7))-7*11)+6)+1,'Данные'!$B:$B,$B$3)</f>
        <v/>
      </c>
      <c r="F27" s="32">
        <f>IFERROR(E27/D27,"")</f>
        <v/>
      </c>
      <c r="G27" s="33">
        <f>IFERROR(B27/E27,"")</f>
        <v/>
      </c>
      <c r="H27" s="31">
        <f>SUMIFS('Данные'!$F:$F,'Данные'!$A:$A,"&gt;="&amp;(($E$3-WEEKDAY($E$3,2)+1-7*(WEEKDAY($E$3,2)&lt;7))-7*11),'Данные'!$A:$A,"&lt;"&amp;((($E$3-WEEKDAY($E$3,2)+1-7*(WEEKDAY($E$3,2)&lt;7))-7*11)+6)+1,'Данные'!$B:$B,$B$3)</f>
        <v/>
      </c>
      <c r="I27" s="33">
        <f>IFERROR(B27/H27,"")</f>
        <v/>
      </c>
      <c r="J27" s="34">
        <f>IFERROR(H27/E27,"")</f>
        <v/>
      </c>
    </row>
    <row r="28">
      <c r="A28" s="36">
        <f>TEXT((($E$3-WEEKDAY($E$3,2)+1-7*(WEEKDAY($E$3,2)&lt;7))-7*10),"DD.MM")&amp;"–"&amp;TEXT((($E$3-WEEKDAY($E$3,2)+1-7*(WEEKDAY($E$3,2)&lt;7))-7*10)+6,"DD.MM.YYYY")</f>
        <v/>
      </c>
      <c r="B28" s="37">
        <f>SUMIFS('Данные'!$C:$C,'Данные'!$A:$A,"&gt;="&amp;(($E$3-WEEKDAY($E$3,2)+1-7*(WEEKDAY($E$3,2)&lt;7))-7*10),'Данные'!$A:$A,"&lt;"&amp;((($E$3-WEEKDAY($E$3,2)+1-7*(WEEKDAY($E$3,2)&lt;7))-7*10)+6)+1,'Данные'!$B:$B,$B$3)</f>
        <v/>
      </c>
      <c r="C28" s="37">
        <f>B28*(100+22)/100</f>
        <v/>
      </c>
      <c r="D28" s="38">
        <f>SUMIFS('Данные'!$D:$D,'Данные'!$A:$A,"&gt;="&amp;(($E$3-WEEKDAY($E$3,2)+1-7*(WEEKDAY($E$3,2)&lt;7))-7*10),'Данные'!$A:$A,"&lt;"&amp;((($E$3-WEEKDAY($E$3,2)+1-7*(WEEKDAY($E$3,2)&lt;7))-7*10)+6)+1,'Данные'!$B:$B,$B$3)</f>
        <v/>
      </c>
      <c r="E28" s="38">
        <f>SUMIFS('Данные'!$E:$E,'Данные'!$A:$A,"&gt;="&amp;(($E$3-WEEKDAY($E$3,2)+1-7*(WEEKDAY($E$3,2)&lt;7))-7*10),'Данные'!$A:$A,"&lt;"&amp;((($E$3-WEEKDAY($E$3,2)+1-7*(WEEKDAY($E$3,2)&lt;7))-7*10)+6)+1,'Данные'!$B:$B,$B$3)</f>
        <v/>
      </c>
      <c r="F28" s="39">
        <f>IFERROR(E28/D28,"")</f>
        <v/>
      </c>
      <c r="G28" s="40">
        <f>IFERROR(B28/E28,"")</f>
        <v/>
      </c>
      <c r="H28" s="38">
        <f>SUMIFS('Данные'!$F:$F,'Данные'!$A:$A,"&gt;="&amp;(($E$3-WEEKDAY($E$3,2)+1-7*(WEEKDAY($E$3,2)&lt;7))-7*10),'Данные'!$A:$A,"&lt;"&amp;((($E$3-WEEKDAY($E$3,2)+1-7*(WEEKDAY($E$3,2)&lt;7))-7*10)+6)+1,'Данные'!$B:$B,$B$3)</f>
        <v/>
      </c>
      <c r="I28" s="40">
        <f>IFERROR(B28/H28,"")</f>
        <v/>
      </c>
      <c r="J28" s="41">
        <f>IFERROR(H28/E28,"")</f>
        <v/>
      </c>
    </row>
    <row r="29">
      <c r="A29" s="29">
        <f>TEXT((($E$3-WEEKDAY($E$3,2)+1-7*(WEEKDAY($E$3,2)&lt;7))-7*9),"DD.MM")&amp;"–"&amp;TEXT((($E$3-WEEKDAY($E$3,2)+1-7*(WEEKDAY($E$3,2)&lt;7))-7*9)+6,"DD.MM.YYYY")</f>
        <v/>
      </c>
      <c r="B29" s="30">
        <f>SUMIFS('Данные'!$C:$C,'Данные'!$A:$A,"&gt;="&amp;(($E$3-WEEKDAY($E$3,2)+1-7*(WEEKDAY($E$3,2)&lt;7))-7*9),'Данные'!$A:$A,"&lt;"&amp;((($E$3-WEEKDAY($E$3,2)+1-7*(WEEKDAY($E$3,2)&lt;7))-7*9)+6)+1,'Данные'!$B:$B,$B$3)</f>
        <v/>
      </c>
      <c r="C29" s="30">
        <f>B29*(100+22)/100</f>
        <v/>
      </c>
      <c r="D29" s="31">
        <f>SUMIFS('Данные'!$D:$D,'Данные'!$A:$A,"&gt;="&amp;(($E$3-WEEKDAY($E$3,2)+1-7*(WEEKDAY($E$3,2)&lt;7))-7*9),'Данные'!$A:$A,"&lt;"&amp;((($E$3-WEEKDAY($E$3,2)+1-7*(WEEKDAY($E$3,2)&lt;7))-7*9)+6)+1,'Данные'!$B:$B,$B$3)</f>
        <v/>
      </c>
      <c r="E29" s="31">
        <f>SUMIFS('Данные'!$E:$E,'Данные'!$A:$A,"&gt;="&amp;(($E$3-WEEKDAY($E$3,2)+1-7*(WEEKDAY($E$3,2)&lt;7))-7*9),'Данные'!$A:$A,"&lt;"&amp;((($E$3-WEEKDAY($E$3,2)+1-7*(WEEKDAY($E$3,2)&lt;7))-7*9)+6)+1,'Данные'!$B:$B,$B$3)</f>
        <v/>
      </c>
      <c r="F29" s="32">
        <f>IFERROR(E29/D29,"")</f>
        <v/>
      </c>
      <c r="G29" s="33">
        <f>IFERROR(B29/E29,"")</f>
        <v/>
      </c>
      <c r="H29" s="31">
        <f>SUMIFS('Данные'!$F:$F,'Данные'!$A:$A,"&gt;="&amp;(($E$3-WEEKDAY($E$3,2)+1-7*(WEEKDAY($E$3,2)&lt;7))-7*9),'Данные'!$A:$A,"&lt;"&amp;((($E$3-WEEKDAY($E$3,2)+1-7*(WEEKDAY($E$3,2)&lt;7))-7*9)+6)+1,'Данные'!$B:$B,$B$3)</f>
        <v/>
      </c>
      <c r="I29" s="33">
        <f>IFERROR(B29/H29,"")</f>
        <v/>
      </c>
      <c r="J29" s="34">
        <f>IFERROR(H29/E29,"")</f>
        <v/>
      </c>
    </row>
    <row r="30">
      <c r="A30" s="36">
        <f>TEXT((($E$3-WEEKDAY($E$3,2)+1-7*(WEEKDAY($E$3,2)&lt;7))-7*8),"DD.MM")&amp;"–"&amp;TEXT((($E$3-WEEKDAY($E$3,2)+1-7*(WEEKDAY($E$3,2)&lt;7))-7*8)+6,"DD.MM.YYYY")</f>
        <v/>
      </c>
      <c r="B30" s="37">
        <f>SUMIFS('Данные'!$C:$C,'Данные'!$A:$A,"&gt;="&amp;(($E$3-WEEKDAY($E$3,2)+1-7*(WEEKDAY($E$3,2)&lt;7))-7*8),'Данные'!$A:$A,"&lt;"&amp;((($E$3-WEEKDAY($E$3,2)+1-7*(WEEKDAY($E$3,2)&lt;7))-7*8)+6)+1,'Данные'!$B:$B,$B$3)</f>
        <v/>
      </c>
      <c r="C30" s="37">
        <f>B30*(100+22)/100</f>
        <v/>
      </c>
      <c r="D30" s="38">
        <f>SUMIFS('Данные'!$D:$D,'Данные'!$A:$A,"&gt;="&amp;(($E$3-WEEKDAY($E$3,2)+1-7*(WEEKDAY($E$3,2)&lt;7))-7*8),'Данные'!$A:$A,"&lt;"&amp;((($E$3-WEEKDAY($E$3,2)+1-7*(WEEKDAY($E$3,2)&lt;7))-7*8)+6)+1,'Данные'!$B:$B,$B$3)</f>
        <v/>
      </c>
      <c r="E30" s="38">
        <f>SUMIFS('Данные'!$E:$E,'Данные'!$A:$A,"&gt;="&amp;(($E$3-WEEKDAY($E$3,2)+1-7*(WEEKDAY($E$3,2)&lt;7))-7*8),'Данные'!$A:$A,"&lt;"&amp;((($E$3-WEEKDAY($E$3,2)+1-7*(WEEKDAY($E$3,2)&lt;7))-7*8)+6)+1,'Данные'!$B:$B,$B$3)</f>
        <v/>
      </c>
      <c r="F30" s="39">
        <f>IFERROR(E30/D30,"")</f>
        <v/>
      </c>
      <c r="G30" s="40">
        <f>IFERROR(B30/E30,"")</f>
        <v/>
      </c>
      <c r="H30" s="38">
        <f>SUMIFS('Данные'!$F:$F,'Данные'!$A:$A,"&gt;="&amp;(($E$3-WEEKDAY($E$3,2)+1-7*(WEEKDAY($E$3,2)&lt;7))-7*8),'Данные'!$A:$A,"&lt;"&amp;((($E$3-WEEKDAY($E$3,2)+1-7*(WEEKDAY($E$3,2)&lt;7))-7*8)+6)+1,'Данные'!$B:$B,$B$3)</f>
        <v/>
      </c>
      <c r="I30" s="40">
        <f>IFERROR(B30/H30,"")</f>
        <v/>
      </c>
      <c r="J30" s="41">
        <f>IFERROR(H30/E30,"")</f>
        <v/>
      </c>
    </row>
    <row r="31">
      <c r="A31" s="29">
        <f>TEXT((($E$3-WEEKDAY($E$3,2)+1-7*(WEEKDAY($E$3,2)&lt;7))-7*7),"DD.MM")&amp;"–"&amp;TEXT((($E$3-WEEKDAY($E$3,2)+1-7*(WEEKDAY($E$3,2)&lt;7))-7*7)+6,"DD.MM.YYYY")</f>
        <v/>
      </c>
      <c r="B31" s="30">
        <f>SUMIFS('Данные'!$C:$C,'Данные'!$A:$A,"&gt;="&amp;(($E$3-WEEKDAY($E$3,2)+1-7*(WEEKDAY($E$3,2)&lt;7))-7*7),'Данные'!$A:$A,"&lt;"&amp;((($E$3-WEEKDAY($E$3,2)+1-7*(WEEKDAY($E$3,2)&lt;7))-7*7)+6)+1,'Данные'!$B:$B,$B$3)</f>
        <v/>
      </c>
      <c r="C31" s="30">
        <f>B31*(100+22)/100</f>
        <v/>
      </c>
      <c r="D31" s="31">
        <f>SUMIFS('Данные'!$D:$D,'Данные'!$A:$A,"&gt;="&amp;(($E$3-WEEKDAY($E$3,2)+1-7*(WEEKDAY($E$3,2)&lt;7))-7*7),'Данные'!$A:$A,"&lt;"&amp;((($E$3-WEEKDAY($E$3,2)+1-7*(WEEKDAY($E$3,2)&lt;7))-7*7)+6)+1,'Данные'!$B:$B,$B$3)</f>
        <v/>
      </c>
      <c r="E31" s="31">
        <f>SUMIFS('Данные'!$E:$E,'Данные'!$A:$A,"&gt;="&amp;(($E$3-WEEKDAY($E$3,2)+1-7*(WEEKDAY($E$3,2)&lt;7))-7*7),'Данные'!$A:$A,"&lt;"&amp;((($E$3-WEEKDAY($E$3,2)+1-7*(WEEKDAY($E$3,2)&lt;7))-7*7)+6)+1,'Данные'!$B:$B,$B$3)</f>
        <v/>
      </c>
      <c r="F31" s="32">
        <f>IFERROR(E31/D31,"")</f>
        <v/>
      </c>
      <c r="G31" s="33">
        <f>IFERROR(B31/E31,"")</f>
        <v/>
      </c>
      <c r="H31" s="31">
        <f>SUMIFS('Данные'!$F:$F,'Данные'!$A:$A,"&gt;="&amp;(($E$3-WEEKDAY($E$3,2)+1-7*(WEEKDAY($E$3,2)&lt;7))-7*7),'Данные'!$A:$A,"&lt;"&amp;((($E$3-WEEKDAY($E$3,2)+1-7*(WEEKDAY($E$3,2)&lt;7))-7*7)+6)+1,'Данные'!$B:$B,$B$3)</f>
        <v/>
      </c>
      <c r="I31" s="33">
        <f>IFERROR(B31/H31,"")</f>
        <v/>
      </c>
      <c r="J31" s="34">
        <f>IFERROR(H31/E31,"")</f>
        <v/>
      </c>
    </row>
    <row r="32">
      <c r="A32" s="36">
        <f>TEXT((($E$3-WEEKDAY($E$3,2)+1-7*(WEEKDAY($E$3,2)&lt;7))-7*6),"DD.MM")&amp;"–"&amp;TEXT((($E$3-WEEKDAY($E$3,2)+1-7*(WEEKDAY($E$3,2)&lt;7))-7*6)+6,"DD.MM.YYYY")</f>
        <v/>
      </c>
      <c r="B32" s="37">
        <f>SUMIFS('Данные'!$C:$C,'Данные'!$A:$A,"&gt;="&amp;(($E$3-WEEKDAY($E$3,2)+1-7*(WEEKDAY($E$3,2)&lt;7))-7*6),'Данные'!$A:$A,"&lt;"&amp;((($E$3-WEEKDAY($E$3,2)+1-7*(WEEKDAY($E$3,2)&lt;7))-7*6)+6)+1,'Данные'!$B:$B,$B$3)</f>
        <v/>
      </c>
      <c r="C32" s="37">
        <f>B32*(100+22)/100</f>
        <v/>
      </c>
      <c r="D32" s="38">
        <f>SUMIFS('Данные'!$D:$D,'Данные'!$A:$A,"&gt;="&amp;(($E$3-WEEKDAY($E$3,2)+1-7*(WEEKDAY($E$3,2)&lt;7))-7*6),'Данные'!$A:$A,"&lt;"&amp;((($E$3-WEEKDAY($E$3,2)+1-7*(WEEKDAY($E$3,2)&lt;7))-7*6)+6)+1,'Данные'!$B:$B,$B$3)</f>
        <v/>
      </c>
      <c r="E32" s="38">
        <f>SUMIFS('Данные'!$E:$E,'Данные'!$A:$A,"&gt;="&amp;(($E$3-WEEKDAY($E$3,2)+1-7*(WEEKDAY($E$3,2)&lt;7))-7*6),'Данные'!$A:$A,"&lt;"&amp;((($E$3-WEEKDAY($E$3,2)+1-7*(WEEKDAY($E$3,2)&lt;7))-7*6)+6)+1,'Данные'!$B:$B,$B$3)</f>
        <v/>
      </c>
      <c r="F32" s="39">
        <f>IFERROR(E32/D32,"")</f>
        <v/>
      </c>
      <c r="G32" s="40">
        <f>IFERROR(B32/E32,"")</f>
        <v/>
      </c>
      <c r="H32" s="38">
        <f>SUMIFS('Данные'!$F:$F,'Данные'!$A:$A,"&gt;="&amp;(($E$3-WEEKDAY($E$3,2)+1-7*(WEEKDAY($E$3,2)&lt;7))-7*6),'Данные'!$A:$A,"&lt;"&amp;((($E$3-WEEKDAY($E$3,2)+1-7*(WEEKDAY($E$3,2)&lt;7))-7*6)+6)+1,'Данные'!$B:$B,$B$3)</f>
        <v/>
      </c>
      <c r="I32" s="40">
        <f>IFERROR(B32/H32,"")</f>
        <v/>
      </c>
      <c r="J32" s="41">
        <f>IFERROR(H32/E32,"")</f>
        <v/>
      </c>
    </row>
    <row r="33">
      <c r="A33" s="29">
        <f>TEXT((($E$3-WEEKDAY($E$3,2)+1-7*(WEEKDAY($E$3,2)&lt;7))-7*5),"DD.MM")&amp;"–"&amp;TEXT((($E$3-WEEKDAY($E$3,2)+1-7*(WEEKDAY($E$3,2)&lt;7))-7*5)+6,"DD.MM.YYYY")</f>
        <v/>
      </c>
      <c r="B33" s="30">
        <f>SUMIFS('Данные'!$C:$C,'Данные'!$A:$A,"&gt;="&amp;(($E$3-WEEKDAY($E$3,2)+1-7*(WEEKDAY($E$3,2)&lt;7))-7*5),'Данные'!$A:$A,"&lt;"&amp;((($E$3-WEEKDAY($E$3,2)+1-7*(WEEKDAY($E$3,2)&lt;7))-7*5)+6)+1,'Данные'!$B:$B,$B$3)</f>
        <v/>
      </c>
      <c r="C33" s="30">
        <f>B33*(100+22)/100</f>
        <v/>
      </c>
      <c r="D33" s="31">
        <f>SUMIFS('Данные'!$D:$D,'Данные'!$A:$A,"&gt;="&amp;(($E$3-WEEKDAY($E$3,2)+1-7*(WEEKDAY($E$3,2)&lt;7))-7*5),'Данные'!$A:$A,"&lt;"&amp;((($E$3-WEEKDAY($E$3,2)+1-7*(WEEKDAY($E$3,2)&lt;7))-7*5)+6)+1,'Данные'!$B:$B,$B$3)</f>
        <v/>
      </c>
      <c r="E33" s="31">
        <f>SUMIFS('Данные'!$E:$E,'Данные'!$A:$A,"&gt;="&amp;(($E$3-WEEKDAY($E$3,2)+1-7*(WEEKDAY($E$3,2)&lt;7))-7*5),'Данные'!$A:$A,"&lt;"&amp;((($E$3-WEEKDAY($E$3,2)+1-7*(WEEKDAY($E$3,2)&lt;7))-7*5)+6)+1,'Данные'!$B:$B,$B$3)</f>
        <v/>
      </c>
      <c r="F33" s="32">
        <f>IFERROR(E33/D33,"")</f>
        <v/>
      </c>
      <c r="G33" s="33">
        <f>IFERROR(B33/E33,"")</f>
        <v/>
      </c>
      <c r="H33" s="31">
        <f>SUMIFS('Данные'!$F:$F,'Данные'!$A:$A,"&gt;="&amp;(($E$3-WEEKDAY($E$3,2)+1-7*(WEEKDAY($E$3,2)&lt;7))-7*5),'Данные'!$A:$A,"&lt;"&amp;((($E$3-WEEKDAY($E$3,2)+1-7*(WEEKDAY($E$3,2)&lt;7))-7*5)+6)+1,'Данные'!$B:$B,$B$3)</f>
        <v/>
      </c>
      <c r="I33" s="33">
        <f>IFERROR(B33/H33,"")</f>
        <v/>
      </c>
      <c r="J33" s="34">
        <f>IFERROR(H33/E33,"")</f>
        <v/>
      </c>
    </row>
    <row r="34">
      <c r="A34" s="36">
        <f>TEXT((($E$3-WEEKDAY($E$3,2)+1-7*(WEEKDAY($E$3,2)&lt;7))-7*4),"DD.MM")&amp;"–"&amp;TEXT((($E$3-WEEKDAY($E$3,2)+1-7*(WEEKDAY($E$3,2)&lt;7))-7*4)+6,"DD.MM.YYYY")</f>
        <v/>
      </c>
      <c r="B34" s="37">
        <f>SUMIFS('Данные'!$C:$C,'Данные'!$A:$A,"&gt;="&amp;(($E$3-WEEKDAY($E$3,2)+1-7*(WEEKDAY($E$3,2)&lt;7))-7*4),'Данные'!$A:$A,"&lt;"&amp;((($E$3-WEEKDAY($E$3,2)+1-7*(WEEKDAY($E$3,2)&lt;7))-7*4)+6)+1,'Данные'!$B:$B,$B$3)</f>
        <v/>
      </c>
      <c r="C34" s="37">
        <f>B34*(100+22)/100</f>
        <v/>
      </c>
      <c r="D34" s="38">
        <f>SUMIFS('Данные'!$D:$D,'Данные'!$A:$A,"&gt;="&amp;(($E$3-WEEKDAY($E$3,2)+1-7*(WEEKDAY($E$3,2)&lt;7))-7*4),'Данные'!$A:$A,"&lt;"&amp;((($E$3-WEEKDAY($E$3,2)+1-7*(WEEKDAY($E$3,2)&lt;7))-7*4)+6)+1,'Данные'!$B:$B,$B$3)</f>
        <v/>
      </c>
      <c r="E34" s="38">
        <f>SUMIFS('Данные'!$E:$E,'Данные'!$A:$A,"&gt;="&amp;(($E$3-WEEKDAY($E$3,2)+1-7*(WEEKDAY($E$3,2)&lt;7))-7*4),'Данные'!$A:$A,"&lt;"&amp;((($E$3-WEEKDAY($E$3,2)+1-7*(WEEKDAY($E$3,2)&lt;7))-7*4)+6)+1,'Данные'!$B:$B,$B$3)</f>
        <v/>
      </c>
      <c r="F34" s="39">
        <f>IFERROR(E34/D34,"")</f>
        <v/>
      </c>
      <c r="G34" s="40">
        <f>IFERROR(B34/E34,"")</f>
        <v/>
      </c>
      <c r="H34" s="38">
        <f>SUMIFS('Данные'!$F:$F,'Данные'!$A:$A,"&gt;="&amp;(($E$3-WEEKDAY($E$3,2)+1-7*(WEEKDAY($E$3,2)&lt;7))-7*4),'Данные'!$A:$A,"&lt;"&amp;((($E$3-WEEKDAY($E$3,2)+1-7*(WEEKDAY($E$3,2)&lt;7))-7*4)+6)+1,'Данные'!$B:$B,$B$3)</f>
        <v/>
      </c>
      <c r="I34" s="40">
        <f>IFERROR(B34/H34,"")</f>
        <v/>
      </c>
      <c r="J34" s="41">
        <f>IFERROR(H34/E34,"")</f>
        <v/>
      </c>
    </row>
    <row r="35">
      <c r="A35" s="29">
        <f>TEXT((($E$3-WEEKDAY($E$3,2)+1-7*(WEEKDAY($E$3,2)&lt;7))-7*3),"DD.MM")&amp;"–"&amp;TEXT((($E$3-WEEKDAY($E$3,2)+1-7*(WEEKDAY($E$3,2)&lt;7))-7*3)+6,"DD.MM.YYYY")</f>
        <v/>
      </c>
      <c r="B35" s="30">
        <f>SUMIFS('Данные'!$C:$C,'Данные'!$A:$A,"&gt;="&amp;(($E$3-WEEKDAY($E$3,2)+1-7*(WEEKDAY($E$3,2)&lt;7))-7*3),'Данные'!$A:$A,"&lt;"&amp;((($E$3-WEEKDAY($E$3,2)+1-7*(WEEKDAY($E$3,2)&lt;7))-7*3)+6)+1,'Данные'!$B:$B,$B$3)</f>
        <v/>
      </c>
      <c r="C35" s="30">
        <f>B35*(100+22)/100</f>
        <v/>
      </c>
      <c r="D35" s="31">
        <f>SUMIFS('Данные'!$D:$D,'Данные'!$A:$A,"&gt;="&amp;(($E$3-WEEKDAY($E$3,2)+1-7*(WEEKDAY($E$3,2)&lt;7))-7*3),'Данные'!$A:$A,"&lt;"&amp;((($E$3-WEEKDAY($E$3,2)+1-7*(WEEKDAY($E$3,2)&lt;7))-7*3)+6)+1,'Данные'!$B:$B,$B$3)</f>
        <v/>
      </c>
      <c r="E35" s="31">
        <f>SUMIFS('Данные'!$E:$E,'Данные'!$A:$A,"&gt;="&amp;(($E$3-WEEKDAY($E$3,2)+1-7*(WEEKDAY($E$3,2)&lt;7))-7*3),'Данные'!$A:$A,"&lt;"&amp;((($E$3-WEEKDAY($E$3,2)+1-7*(WEEKDAY($E$3,2)&lt;7))-7*3)+6)+1,'Данные'!$B:$B,$B$3)</f>
        <v/>
      </c>
      <c r="F35" s="32">
        <f>IFERROR(E35/D35,"")</f>
        <v/>
      </c>
      <c r="G35" s="33">
        <f>IFERROR(B35/E35,"")</f>
        <v/>
      </c>
      <c r="H35" s="31">
        <f>SUMIFS('Данные'!$F:$F,'Данные'!$A:$A,"&gt;="&amp;(($E$3-WEEKDAY($E$3,2)+1-7*(WEEKDAY($E$3,2)&lt;7))-7*3),'Данные'!$A:$A,"&lt;"&amp;((($E$3-WEEKDAY($E$3,2)+1-7*(WEEKDAY($E$3,2)&lt;7))-7*3)+6)+1,'Данные'!$B:$B,$B$3)</f>
        <v/>
      </c>
      <c r="I35" s="33">
        <f>IFERROR(B35/H35,"")</f>
        <v/>
      </c>
      <c r="J35" s="34">
        <f>IFERROR(H35/E35,"")</f>
        <v/>
      </c>
    </row>
    <row r="36">
      <c r="A36" s="36">
        <f>TEXT((($E$3-WEEKDAY($E$3,2)+1-7*(WEEKDAY($E$3,2)&lt;7))-7*2),"DD.MM")&amp;"–"&amp;TEXT((($E$3-WEEKDAY($E$3,2)+1-7*(WEEKDAY($E$3,2)&lt;7))-7*2)+6,"DD.MM.YYYY")</f>
        <v/>
      </c>
      <c r="B36" s="37">
        <f>SUMIFS('Данные'!$C:$C,'Данные'!$A:$A,"&gt;="&amp;(($E$3-WEEKDAY($E$3,2)+1-7*(WEEKDAY($E$3,2)&lt;7))-7*2),'Данные'!$A:$A,"&lt;"&amp;((($E$3-WEEKDAY($E$3,2)+1-7*(WEEKDAY($E$3,2)&lt;7))-7*2)+6)+1,'Данные'!$B:$B,$B$3)</f>
        <v/>
      </c>
      <c r="C36" s="37">
        <f>B36*(100+22)/100</f>
        <v/>
      </c>
      <c r="D36" s="38">
        <f>SUMIFS('Данные'!$D:$D,'Данные'!$A:$A,"&gt;="&amp;(($E$3-WEEKDAY($E$3,2)+1-7*(WEEKDAY($E$3,2)&lt;7))-7*2),'Данные'!$A:$A,"&lt;"&amp;((($E$3-WEEKDAY($E$3,2)+1-7*(WEEKDAY($E$3,2)&lt;7))-7*2)+6)+1,'Данные'!$B:$B,$B$3)</f>
        <v/>
      </c>
      <c r="E36" s="38">
        <f>SUMIFS('Данные'!$E:$E,'Данные'!$A:$A,"&gt;="&amp;(($E$3-WEEKDAY($E$3,2)+1-7*(WEEKDAY($E$3,2)&lt;7))-7*2),'Данные'!$A:$A,"&lt;"&amp;((($E$3-WEEKDAY($E$3,2)+1-7*(WEEKDAY($E$3,2)&lt;7))-7*2)+6)+1,'Данные'!$B:$B,$B$3)</f>
        <v/>
      </c>
      <c r="F36" s="39">
        <f>IFERROR(E36/D36,"")</f>
        <v/>
      </c>
      <c r="G36" s="40">
        <f>IFERROR(B36/E36,"")</f>
        <v/>
      </c>
      <c r="H36" s="38">
        <f>SUMIFS('Данные'!$F:$F,'Данные'!$A:$A,"&gt;="&amp;(($E$3-WEEKDAY($E$3,2)+1-7*(WEEKDAY($E$3,2)&lt;7))-7*2),'Данные'!$A:$A,"&lt;"&amp;((($E$3-WEEKDAY($E$3,2)+1-7*(WEEKDAY($E$3,2)&lt;7))-7*2)+6)+1,'Данные'!$B:$B,$B$3)</f>
        <v/>
      </c>
      <c r="I36" s="40">
        <f>IFERROR(B36/H36,"")</f>
        <v/>
      </c>
      <c r="J36" s="41">
        <f>IFERROR(H36/E36,"")</f>
        <v/>
      </c>
    </row>
    <row r="37">
      <c r="A37" s="29">
        <f>TEXT((($E$3-WEEKDAY($E$3,2)+1-7*(WEEKDAY($E$3,2)&lt;7))-7*1),"DD.MM")&amp;"–"&amp;TEXT((($E$3-WEEKDAY($E$3,2)+1-7*(WEEKDAY($E$3,2)&lt;7))-7*1)+6,"DD.MM.YYYY")</f>
        <v/>
      </c>
      <c r="B37" s="30">
        <f>SUMIFS('Данные'!$C:$C,'Данные'!$A:$A,"&gt;="&amp;(($E$3-WEEKDAY($E$3,2)+1-7*(WEEKDAY($E$3,2)&lt;7))-7*1),'Данные'!$A:$A,"&lt;"&amp;((($E$3-WEEKDAY($E$3,2)+1-7*(WEEKDAY($E$3,2)&lt;7))-7*1)+6)+1,'Данные'!$B:$B,$B$3)</f>
        <v/>
      </c>
      <c r="C37" s="30">
        <f>B37*(100+22)/100</f>
        <v/>
      </c>
      <c r="D37" s="31">
        <f>SUMIFS('Данные'!$D:$D,'Данные'!$A:$A,"&gt;="&amp;(($E$3-WEEKDAY($E$3,2)+1-7*(WEEKDAY($E$3,2)&lt;7))-7*1),'Данные'!$A:$A,"&lt;"&amp;((($E$3-WEEKDAY($E$3,2)+1-7*(WEEKDAY($E$3,2)&lt;7))-7*1)+6)+1,'Данные'!$B:$B,$B$3)</f>
        <v/>
      </c>
      <c r="E37" s="31">
        <f>SUMIFS('Данные'!$E:$E,'Данные'!$A:$A,"&gt;="&amp;(($E$3-WEEKDAY($E$3,2)+1-7*(WEEKDAY($E$3,2)&lt;7))-7*1),'Данные'!$A:$A,"&lt;"&amp;((($E$3-WEEKDAY($E$3,2)+1-7*(WEEKDAY($E$3,2)&lt;7))-7*1)+6)+1,'Данные'!$B:$B,$B$3)</f>
        <v/>
      </c>
      <c r="F37" s="32">
        <f>IFERROR(E37/D37,"")</f>
        <v/>
      </c>
      <c r="G37" s="33">
        <f>IFERROR(B37/E37,"")</f>
        <v/>
      </c>
      <c r="H37" s="31">
        <f>SUMIFS('Данные'!$F:$F,'Данные'!$A:$A,"&gt;="&amp;(($E$3-WEEKDAY($E$3,2)+1-7*(WEEKDAY($E$3,2)&lt;7))-7*1),'Данные'!$A:$A,"&lt;"&amp;((($E$3-WEEKDAY($E$3,2)+1-7*(WEEKDAY($E$3,2)&lt;7))-7*1)+6)+1,'Данные'!$B:$B,$B$3)</f>
        <v/>
      </c>
      <c r="I37" s="33">
        <f>IFERROR(B37/H37,"")</f>
        <v/>
      </c>
      <c r="J37" s="34">
        <f>IFERROR(H37/E37,"")</f>
        <v/>
      </c>
    </row>
    <row r="38">
      <c r="A38" s="36">
        <f>TEXT((($E$3-WEEKDAY($E$3,2)+1-7*(WEEKDAY($E$3,2)&lt;7))-7*0),"DD.MM")&amp;"–"&amp;TEXT((($E$3-WEEKDAY($E$3,2)+1-7*(WEEKDAY($E$3,2)&lt;7))-7*0)+6,"DD.MM.YYYY")</f>
        <v/>
      </c>
      <c r="B38" s="37">
        <f>SUMIFS('Данные'!$C:$C,'Данные'!$A:$A,"&gt;="&amp;(($E$3-WEEKDAY($E$3,2)+1-7*(WEEKDAY($E$3,2)&lt;7))-7*0),'Данные'!$A:$A,"&lt;"&amp;((($E$3-WEEKDAY($E$3,2)+1-7*(WEEKDAY($E$3,2)&lt;7))-7*0)+6)+1,'Данные'!$B:$B,$B$3)</f>
        <v/>
      </c>
      <c r="C38" s="37">
        <f>B38*(100+22)/100</f>
        <v/>
      </c>
      <c r="D38" s="38">
        <f>SUMIFS('Данные'!$D:$D,'Данные'!$A:$A,"&gt;="&amp;(($E$3-WEEKDAY($E$3,2)+1-7*(WEEKDAY($E$3,2)&lt;7))-7*0),'Данные'!$A:$A,"&lt;"&amp;((($E$3-WEEKDAY($E$3,2)+1-7*(WEEKDAY($E$3,2)&lt;7))-7*0)+6)+1,'Данные'!$B:$B,$B$3)</f>
        <v/>
      </c>
      <c r="E38" s="38">
        <f>SUMIFS('Данные'!$E:$E,'Данные'!$A:$A,"&gt;="&amp;(($E$3-WEEKDAY($E$3,2)+1-7*(WEEKDAY($E$3,2)&lt;7))-7*0),'Данные'!$A:$A,"&lt;"&amp;((($E$3-WEEKDAY($E$3,2)+1-7*(WEEKDAY($E$3,2)&lt;7))-7*0)+6)+1,'Данные'!$B:$B,$B$3)</f>
        <v/>
      </c>
      <c r="F38" s="39">
        <f>IFERROR(E38/D38,"")</f>
        <v/>
      </c>
      <c r="G38" s="40">
        <f>IFERROR(B38/E38,"")</f>
        <v/>
      </c>
      <c r="H38" s="38">
        <f>SUMIFS('Данные'!$F:$F,'Данные'!$A:$A,"&gt;="&amp;(($E$3-WEEKDAY($E$3,2)+1-7*(WEEKDAY($E$3,2)&lt;7))-7*0),'Данные'!$A:$A,"&lt;"&amp;((($E$3-WEEKDAY($E$3,2)+1-7*(WEEKDAY($E$3,2)&lt;7))-7*0)+6)+1,'Данные'!$B:$B,$B$3)</f>
        <v/>
      </c>
      <c r="I38" s="40">
        <f>IFERROR(B38/H38,"")</f>
        <v/>
      </c>
      <c r="J38" s="41">
        <f>IFERROR(H38/E38,"")</f>
        <v/>
      </c>
    </row>
    <row r="39">
      <c r="A39" s="59" t="inlineStr">
        <is>
          <t>Разница с прошлой неделей</t>
        </is>
      </c>
      <c r="B39" s="60">
        <f>IFERROR(B38/B37-1,"")</f>
        <v/>
      </c>
      <c r="C39" s="60">
        <f>IFERROR(C38/C37-1,"")</f>
        <v/>
      </c>
      <c r="D39" s="60">
        <f>IFERROR(D38/D37-1,"")</f>
        <v/>
      </c>
      <c r="E39" s="60">
        <f>IFERROR(E38/E37-1,"")</f>
        <v/>
      </c>
      <c r="F39" s="60">
        <f>IFERROR(F38/F37-1,"")</f>
        <v/>
      </c>
      <c r="G39" s="60">
        <f>IFERROR(G38/G37-1,"")</f>
        <v/>
      </c>
      <c r="H39" s="60">
        <f>IFERROR(H38/H37-1,"")</f>
        <v/>
      </c>
      <c r="I39" s="60">
        <f>IFERROR(I38/I37-1,"")</f>
        <v/>
      </c>
      <c r="J39" s="60">
        <f>IFERROR(J38/J37-1,"")</f>
        <v/>
      </c>
    </row>
    <row r="41">
      <c r="A41" s="9" t="inlineStr">
        <is>
          <t>📅 По завершённым месяцам (12)</t>
        </is>
      </c>
    </row>
    <row r="42">
      <c r="A42" s="11" t="inlineStr">
        <is>
          <t>Месяц</t>
        </is>
      </c>
      <c r="B42" s="11" t="inlineStr">
        <is>
          <t>Расход</t>
        </is>
      </c>
      <c r="C42" s="11" t="inlineStr">
        <is>
          <t>Расход с НДС</t>
        </is>
      </c>
      <c r="D42" s="11" t="inlineStr">
        <is>
          <t>Показы</t>
        </is>
      </c>
      <c r="E42" s="11" t="inlineStr">
        <is>
          <t>Клики</t>
        </is>
      </c>
      <c r="F42" s="11" t="inlineStr">
        <is>
          <t>CTR</t>
        </is>
      </c>
      <c r="G42" s="11" t="inlineStr">
        <is>
          <t>CPC</t>
        </is>
      </c>
      <c r="H42" s="11" t="inlineStr">
        <is>
          <t>Подписки</t>
        </is>
      </c>
      <c r="I42" s="11" t="inlineStr">
        <is>
          <t>Цена подписки</t>
        </is>
      </c>
      <c r="J42" s="11" t="inlineStr">
        <is>
          <t>CR в подписку</t>
        </is>
      </c>
    </row>
    <row r="43">
      <c r="A43" s="29">
        <f>CHOOSE(MONTH(EDATE(EDATE(DATE(YEAR($E$3),MONTH($E$3),1),-($E$3&lt;EOMONTH($E$3,0))),-11)),"Январь","Февраль","Март","Апрель","Май","Июнь","Июль","Август","Сентябрь","Октябрь","Ноябрь","Декабрь")&amp;" "&amp;YEAR(EDATE(EDATE(DATE(YEAR($E$3),MONTH($E$3),1),-($E$3&lt;EOMONTH($E$3,0))),-11))</f>
        <v/>
      </c>
      <c r="B43" s="30">
        <f>SUMIFS('Данные'!$C:$C,'Данные'!$A:$A,"&gt;="&amp;EDATE(EDATE(DATE(YEAR($E$3),MONTH($E$3),1),-($E$3&lt;EOMONTH($E$3,0))),-11),'Данные'!$A:$A,"&lt;"&amp;EOMONTH(EDATE(EDATE(DATE(YEAR($E$3),MONTH($E$3),1),-($E$3&lt;EOMONTH($E$3,0))),-11),0)+1,'Данные'!$B:$B,$B$3)</f>
        <v/>
      </c>
      <c r="C43" s="30">
        <f>B43*(100+22)/100</f>
        <v/>
      </c>
      <c r="D43" s="31">
        <f>SUMIFS('Данные'!$D:$D,'Данные'!$A:$A,"&gt;="&amp;EDATE(EDATE(DATE(YEAR($E$3),MONTH($E$3),1),-($E$3&lt;EOMONTH($E$3,0))),-11),'Данные'!$A:$A,"&lt;"&amp;EOMONTH(EDATE(EDATE(DATE(YEAR($E$3),MONTH($E$3),1),-($E$3&lt;EOMONTH($E$3,0))),-11),0)+1,'Данные'!$B:$B,$B$3)</f>
        <v/>
      </c>
      <c r="E43" s="31">
        <f>SUMIFS('Данные'!$E:$E,'Данные'!$A:$A,"&gt;="&amp;EDATE(EDATE(DATE(YEAR($E$3),MONTH($E$3),1),-($E$3&lt;EOMONTH($E$3,0))),-11),'Данные'!$A:$A,"&lt;"&amp;EOMONTH(EDATE(EDATE(DATE(YEAR($E$3),MONTH($E$3),1),-($E$3&lt;EOMONTH($E$3,0))),-11),0)+1,'Данные'!$B:$B,$B$3)</f>
        <v/>
      </c>
      <c r="F43" s="32">
        <f>IFERROR(E43/D43,"")</f>
        <v/>
      </c>
      <c r="G43" s="33">
        <f>IFERROR(B43/E43,"")</f>
        <v/>
      </c>
      <c r="H43" s="31">
        <f>SUMIFS('Данные'!$F:$F,'Данные'!$A:$A,"&gt;="&amp;EDATE(EDATE(DATE(YEAR($E$3),MONTH($E$3),1),-($E$3&lt;EOMONTH($E$3,0))),-11),'Данные'!$A:$A,"&lt;"&amp;EOMONTH(EDATE(EDATE(DATE(YEAR($E$3),MONTH($E$3),1),-($E$3&lt;EOMONTH($E$3,0))),-11),0)+1,'Данные'!$B:$B,$B$3)</f>
        <v/>
      </c>
      <c r="I43" s="33">
        <f>IFERROR(B43/H43,"")</f>
        <v/>
      </c>
      <c r="J43" s="34">
        <f>IFERROR(H43/E43,"")</f>
        <v/>
      </c>
    </row>
    <row r="44">
      <c r="A44" s="36">
        <f>CHOOSE(MONTH(EDATE(EDATE(DATE(YEAR($E$3),MONTH($E$3),1),-($E$3&lt;EOMONTH($E$3,0))),-10)),"Январь","Февраль","Март","Апрель","Май","Июнь","Июль","Август","Сентябрь","Октябрь","Ноябрь","Декабрь")&amp;" "&amp;YEAR(EDATE(EDATE(DATE(YEAR($E$3),MONTH($E$3),1),-($E$3&lt;EOMONTH($E$3,0))),-10))</f>
        <v/>
      </c>
      <c r="B44" s="37">
        <f>SUMIFS('Данные'!$C:$C,'Данные'!$A:$A,"&gt;="&amp;EDATE(EDATE(DATE(YEAR($E$3),MONTH($E$3),1),-($E$3&lt;EOMONTH($E$3,0))),-10),'Данные'!$A:$A,"&lt;"&amp;EOMONTH(EDATE(EDATE(DATE(YEAR($E$3),MONTH($E$3),1),-($E$3&lt;EOMONTH($E$3,0))),-10),0)+1,'Данные'!$B:$B,$B$3)</f>
        <v/>
      </c>
      <c r="C44" s="37">
        <f>B44*(100+22)/100</f>
        <v/>
      </c>
      <c r="D44" s="38">
        <f>SUMIFS('Данные'!$D:$D,'Данные'!$A:$A,"&gt;="&amp;EDATE(EDATE(DATE(YEAR($E$3),MONTH($E$3),1),-($E$3&lt;EOMONTH($E$3,0))),-10),'Данные'!$A:$A,"&lt;"&amp;EOMONTH(EDATE(EDATE(DATE(YEAR($E$3),MONTH($E$3),1),-($E$3&lt;EOMONTH($E$3,0))),-10),0)+1,'Данные'!$B:$B,$B$3)</f>
        <v/>
      </c>
      <c r="E44" s="38">
        <f>SUMIFS('Данные'!$E:$E,'Данные'!$A:$A,"&gt;="&amp;EDATE(EDATE(DATE(YEAR($E$3),MONTH($E$3),1),-($E$3&lt;EOMONTH($E$3,0))),-10),'Данные'!$A:$A,"&lt;"&amp;EOMONTH(EDATE(EDATE(DATE(YEAR($E$3),MONTH($E$3),1),-($E$3&lt;EOMONTH($E$3,0))),-10),0)+1,'Данные'!$B:$B,$B$3)</f>
        <v/>
      </c>
      <c r="F44" s="39">
        <f>IFERROR(E44/D44,"")</f>
        <v/>
      </c>
      <c r="G44" s="40">
        <f>IFERROR(B44/E44,"")</f>
        <v/>
      </c>
      <c r="H44" s="38">
        <f>SUMIFS('Данные'!$F:$F,'Данные'!$A:$A,"&gt;="&amp;EDATE(EDATE(DATE(YEAR($E$3),MONTH($E$3),1),-($E$3&lt;EOMONTH($E$3,0))),-10),'Данные'!$A:$A,"&lt;"&amp;EOMONTH(EDATE(EDATE(DATE(YEAR($E$3),MONTH($E$3),1),-($E$3&lt;EOMONTH($E$3,0))),-10),0)+1,'Данные'!$B:$B,$B$3)</f>
        <v/>
      </c>
      <c r="I44" s="40">
        <f>IFERROR(B44/H44,"")</f>
        <v/>
      </c>
      <c r="J44" s="41">
        <f>IFERROR(H44/E44,"")</f>
        <v/>
      </c>
    </row>
    <row r="45">
      <c r="A45" s="29">
        <f>CHOOSE(MONTH(EDATE(EDATE(DATE(YEAR($E$3),MONTH($E$3),1),-($E$3&lt;EOMONTH($E$3,0))),-9)),"Январь","Февраль","Март","Апрель","Май","Июнь","Июль","Август","Сентябрь","Октябрь","Ноябрь","Декабрь")&amp;" "&amp;YEAR(EDATE(EDATE(DATE(YEAR($E$3),MONTH($E$3),1),-($E$3&lt;EOMONTH($E$3,0))),-9))</f>
        <v/>
      </c>
      <c r="B45" s="30">
        <f>SUMIFS('Данные'!$C:$C,'Данные'!$A:$A,"&gt;="&amp;EDATE(EDATE(DATE(YEAR($E$3),MONTH($E$3),1),-($E$3&lt;EOMONTH($E$3,0))),-9),'Данные'!$A:$A,"&lt;"&amp;EOMONTH(EDATE(EDATE(DATE(YEAR($E$3),MONTH($E$3),1),-($E$3&lt;EOMONTH($E$3,0))),-9),0)+1,'Данные'!$B:$B,$B$3)</f>
        <v/>
      </c>
      <c r="C45" s="30">
        <f>B45*(100+22)/100</f>
        <v/>
      </c>
      <c r="D45" s="31">
        <f>SUMIFS('Данные'!$D:$D,'Данные'!$A:$A,"&gt;="&amp;EDATE(EDATE(DATE(YEAR($E$3),MONTH($E$3),1),-($E$3&lt;EOMONTH($E$3,0))),-9),'Данные'!$A:$A,"&lt;"&amp;EOMONTH(EDATE(EDATE(DATE(YEAR($E$3),MONTH($E$3),1),-($E$3&lt;EOMONTH($E$3,0))),-9),0)+1,'Данные'!$B:$B,$B$3)</f>
        <v/>
      </c>
      <c r="E45" s="31">
        <f>SUMIFS('Данные'!$E:$E,'Данные'!$A:$A,"&gt;="&amp;EDATE(EDATE(DATE(YEAR($E$3),MONTH($E$3),1),-($E$3&lt;EOMONTH($E$3,0))),-9),'Данные'!$A:$A,"&lt;"&amp;EOMONTH(EDATE(EDATE(DATE(YEAR($E$3),MONTH($E$3),1),-($E$3&lt;EOMONTH($E$3,0))),-9),0)+1,'Данные'!$B:$B,$B$3)</f>
        <v/>
      </c>
      <c r="F45" s="32">
        <f>IFERROR(E45/D45,"")</f>
        <v/>
      </c>
      <c r="G45" s="33">
        <f>IFERROR(B45/E45,"")</f>
        <v/>
      </c>
      <c r="H45" s="31">
        <f>SUMIFS('Данные'!$F:$F,'Данные'!$A:$A,"&gt;="&amp;EDATE(EDATE(DATE(YEAR($E$3),MONTH($E$3),1),-($E$3&lt;EOMONTH($E$3,0))),-9),'Данные'!$A:$A,"&lt;"&amp;EOMONTH(EDATE(EDATE(DATE(YEAR($E$3),MONTH($E$3),1),-($E$3&lt;EOMONTH($E$3,0))),-9),0)+1,'Данные'!$B:$B,$B$3)</f>
        <v/>
      </c>
      <c r="I45" s="33">
        <f>IFERROR(B45/H45,"")</f>
        <v/>
      </c>
      <c r="J45" s="34">
        <f>IFERROR(H45/E45,"")</f>
        <v/>
      </c>
    </row>
    <row r="46">
      <c r="A46" s="36">
        <f>CHOOSE(MONTH(EDATE(EDATE(DATE(YEAR($E$3),MONTH($E$3),1),-($E$3&lt;EOMONTH($E$3,0))),-8)),"Январь","Февраль","Март","Апрель","Май","Июнь","Июль","Август","Сентябрь","Октябрь","Ноябрь","Декабрь")&amp;" "&amp;YEAR(EDATE(EDATE(DATE(YEAR($E$3),MONTH($E$3),1),-($E$3&lt;EOMONTH($E$3,0))),-8))</f>
        <v/>
      </c>
      <c r="B46" s="37">
        <f>SUMIFS('Данные'!$C:$C,'Данные'!$A:$A,"&gt;="&amp;EDATE(EDATE(DATE(YEAR($E$3),MONTH($E$3),1),-($E$3&lt;EOMONTH($E$3,0))),-8),'Данные'!$A:$A,"&lt;"&amp;EOMONTH(EDATE(EDATE(DATE(YEAR($E$3),MONTH($E$3),1),-($E$3&lt;EOMONTH($E$3,0))),-8),0)+1,'Данные'!$B:$B,$B$3)</f>
        <v/>
      </c>
      <c r="C46" s="37">
        <f>B46*(100+22)/100</f>
        <v/>
      </c>
      <c r="D46" s="38">
        <f>SUMIFS('Данные'!$D:$D,'Данные'!$A:$A,"&gt;="&amp;EDATE(EDATE(DATE(YEAR($E$3),MONTH($E$3),1),-($E$3&lt;EOMONTH($E$3,0))),-8),'Данные'!$A:$A,"&lt;"&amp;EOMONTH(EDATE(EDATE(DATE(YEAR($E$3),MONTH($E$3),1),-($E$3&lt;EOMONTH($E$3,0))),-8),0)+1,'Данные'!$B:$B,$B$3)</f>
        <v/>
      </c>
      <c r="E46" s="38">
        <f>SUMIFS('Данные'!$E:$E,'Данные'!$A:$A,"&gt;="&amp;EDATE(EDATE(DATE(YEAR($E$3),MONTH($E$3),1),-($E$3&lt;EOMONTH($E$3,0))),-8),'Данные'!$A:$A,"&lt;"&amp;EOMONTH(EDATE(EDATE(DATE(YEAR($E$3),MONTH($E$3),1),-($E$3&lt;EOMONTH($E$3,0))),-8),0)+1,'Данные'!$B:$B,$B$3)</f>
        <v/>
      </c>
      <c r="F46" s="39">
        <f>IFERROR(E46/D46,"")</f>
        <v/>
      </c>
      <c r="G46" s="40">
        <f>IFERROR(B46/E46,"")</f>
        <v/>
      </c>
      <c r="H46" s="38">
        <f>SUMIFS('Данные'!$F:$F,'Данные'!$A:$A,"&gt;="&amp;EDATE(EDATE(DATE(YEAR($E$3),MONTH($E$3),1),-($E$3&lt;EOMONTH($E$3,0))),-8),'Данные'!$A:$A,"&lt;"&amp;EOMONTH(EDATE(EDATE(DATE(YEAR($E$3),MONTH($E$3),1),-($E$3&lt;EOMONTH($E$3,0))),-8),0)+1,'Данные'!$B:$B,$B$3)</f>
        <v/>
      </c>
      <c r="I46" s="40">
        <f>IFERROR(B46/H46,"")</f>
        <v/>
      </c>
      <c r="J46" s="41">
        <f>IFERROR(H46/E46,"")</f>
        <v/>
      </c>
    </row>
    <row r="47">
      <c r="A47" s="29">
        <f>CHOOSE(MONTH(EDATE(EDATE(DATE(YEAR($E$3),MONTH($E$3),1),-($E$3&lt;EOMONTH($E$3,0))),-7)),"Январь","Февраль","Март","Апрель","Май","Июнь","Июль","Август","Сентябрь","Октябрь","Ноябрь","Декабрь")&amp;" "&amp;YEAR(EDATE(EDATE(DATE(YEAR($E$3),MONTH($E$3),1),-($E$3&lt;EOMONTH($E$3,0))),-7))</f>
        <v/>
      </c>
      <c r="B47" s="30">
        <f>SUMIFS('Данные'!$C:$C,'Данные'!$A:$A,"&gt;="&amp;EDATE(EDATE(DATE(YEAR($E$3),MONTH($E$3),1),-($E$3&lt;EOMONTH($E$3,0))),-7),'Данные'!$A:$A,"&lt;"&amp;EOMONTH(EDATE(EDATE(DATE(YEAR($E$3),MONTH($E$3),1),-($E$3&lt;EOMONTH($E$3,0))),-7),0)+1,'Данные'!$B:$B,$B$3)</f>
        <v/>
      </c>
      <c r="C47" s="30">
        <f>B47*(100+22)/100</f>
        <v/>
      </c>
      <c r="D47" s="31">
        <f>SUMIFS('Данные'!$D:$D,'Данные'!$A:$A,"&gt;="&amp;EDATE(EDATE(DATE(YEAR($E$3),MONTH($E$3),1),-($E$3&lt;EOMONTH($E$3,0))),-7),'Данные'!$A:$A,"&lt;"&amp;EOMONTH(EDATE(EDATE(DATE(YEAR($E$3),MONTH($E$3),1),-($E$3&lt;EOMONTH($E$3,0))),-7),0)+1,'Данные'!$B:$B,$B$3)</f>
        <v/>
      </c>
      <c r="E47" s="31">
        <f>SUMIFS('Данные'!$E:$E,'Данные'!$A:$A,"&gt;="&amp;EDATE(EDATE(DATE(YEAR($E$3),MONTH($E$3),1),-($E$3&lt;EOMONTH($E$3,0))),-7),'Данные'!$A:$A,"&lt;"&amp;EOMONTH(EDATE(EDATE(DATE(YEAR($E$3),MONTH($E$3),1),-($E$3&lt;EOMONTH($E$3,0))),-7),0)+1,'Данные'!$B:$B,$B$3)</f>
        <v/>
      </c>
      <c r="F47" s="32">
        <f>IFERROR(E47/D47,"")</f>
        <v/>
      </c>
      <c r="G47" s="33">
        <f>IFERROR(B47/E47,"")</f>
        <v/>
      </c>
      <c r="H47" s="31">
        <f>SUMIFS('Данные'!$F:$F,'Данные'!$A:$A,"&gt;="&amp;EDATE(EDATE(DATE(YEAR($E$3),MONTH($E$3),1),-($E$3&lt;EOMONTH($E$3,0))),-7),'Данные'!$A:$A,"&lt;"&amp;EOMONTH(EDATE(EDATE(DATE(YEAR($E$3),MONTH($E$3),1),-($E$3&lt;EOMONTH($E$3,0))),-7),0)+1,'Данные'!$B:$B,$B$3)</f>
        <v/>
      </c>
      <c r="I47" s="33">
        <f>IFERROR(B47/H47,"")</f>
        <v/>
      </c>
      <c r="J47" s="34">
        <f>IFERROR(H47/E47,"")</f>
        <v/>
      </c>
    </row>
    <row r="48">
      <c r="A48" s="36">
        <f>CHOOSE(MONTH(EDATE(EDATE(DATE(YEAR($E$3),MONTH($E$3),1),-($E$3&lt;EOMONTH($E$3,0))),-6)),"Январь","Февраль","Март","Апрель","Май","Июнь","Июль","Август","Сентябрь","Октябрь","Ноябрь","Декабрь")&amp;" "&amp;YEAR(EDATE(EDATE(DATE(YEAR($E$3),MONTH($E$3),1),-($E$3&lt;EOMONTH($E$3,0))),-6))</f>
        <v/>
      </c>
      <c r="B48" s="37">
        <f>SUMIFS('Данные'!$C:$C,'Данные'!$A:$A,"&gt;="&amp;EDATE(EDATE(DATE(YEAR($E$3),MONTH($E$3),1),-($E$3&lt;EOMONTH($E$3,0))),-6),'Данные'!$A:$A,"&lt;"&amp;EOMONTH(EDATE(EDATE(DATE(YEAR($E$3),MONTH($E$3),1),-($E$3&lt;EOMONTH($E$3,0))),-6),0)+1,'Данные'!$B:$B,$B$3)</f>
        <v/>
      </c>
      <c r="C48" s="37">
        <f>B48*(100+22)/100</f>
        <v/>
      </c>
      <c r="D48" s="38">
        <f>SUMIFS('Данные'!$D:$D,'Данные'!$A:$A,"&gt;="&amp;EDATE(EDATE(DATE(YEAR($E$3),MONTH($E$3),1),-($E$3&lt;EOMONTH($E$3,0))),-6),'Данные'!$A:$A,"&lt;"&amp;EOMONTH(EDATE(EDATE(DATE(YEAR($E$3),MONTH($E$3),1),-($E$3&lt;EOMONTH($E$3,0))),-6),0)+1,'Данные'!$B:$B,$B$3)</f>
        <v/>
      </c>
      <c r="E48" s="38">
        <f>SUMIFS('Данные'!$E:$E,'Данные'!$A:$A,"&gt;="&amp;EDATE(EDATE(DATE(YEAR($E$3),MONTH($E$3),1),-($E$3&lt;EOMONTH($E$3,0))),-6),'Данные'!$A:$A,"&lt;"&amp;EOMONTH(EDATE(EDATE(DATE(YEAR($E$3),MONTH($E$3),1),-($E$3&lt;EOMONTH($E$3,0))),-6),0)+1,'Данные'!$B:$B,$B$3)</f>
        <v/>
      </c>
      <c r="F48" s="39">
        <f>IFERROR(E48/D48,"")</f>
        <v/>
      </c>
      <c r="G48" s="40">
        <f>IFERROR(B48/E48,"")</f>
        <v/>
      </c>
      <c r="H48" s="38">
        <f>SUMIFS('Данные'!$F:$F,'Данные'!$A:$A,"&gt;="&amp;EDATE(EDATE(DATE(YEAR($E$3),MONTH($E$3),1),-($E$3&lt;EOMONTH($E$3,0))),-6),'Данные'!$A:$A,"&lt;"&amp;EOMONTH(EDATE(EDATE(DATE(YEAR($E$3),MONTH($E$3),1),-($E$3&lt;EOMONTH($E$3,0))),-6),0)+1,'Данные'!$B:$B,$B$3)</f>
        <v/>
      </c>
      <c r="I48" s="40">
        <f>IFERROR(B48/H48,"")</f>
        <v/>
      </c>
      <c r="J48" s="41">
        <f>IFERROR(H48/E48,"")</f>
        <v/>
      </c>
    </row>
    <row r="49">
      <c r="A49" s="29">
        <f>CHOOSE(MONTH(EDATE(EDATE(DATE(YEAR($E$3),MONTH($E$3),1),-($E$3&lt;EOMONTH($E$3,0))),-5)),"Январь","Февраль","Март","Апрель","Май","Июнь","Июль","Август","Сентябрь","Октябрь","Ноябрь","Декабрь")&amp;" "&amp;YEAR(EDATE(EDATE(DATE(YEAR($E$3),MONTH($E$3),1),-($E$3&lt;EOMONTH($E$3,0))),-5))</f>
        <v/>
      </c>
      <c r="B49" s="30">
        <f>SUMIFS('Данные'!$C:$C,'Данные'!$A:$A,"&gt;="&amp;EDATE(EDATE(DATE(YEAR($E$3),MONTH($E$3),1),-($E$3&lt;EOMONTH($E$3,0))),-5),'Данные'!$A:$A,"&lt;"&amp;EOMONTH(EDATE(EDATE(DATE(YEAR($E$3),MONTH($E$3),1),-($E$3&lt;EOMONTH($E$3,0))),-5),0)+1,'Данные'!$B:$B,$B$3)</f>
        <v/>
      </c>
      <c r="C49" s="30">
        <f>B49*(100+22)/100</f>
        <v/>
      </c>
      <c r="D49" s="31">
        <f>SUMIFS('Данные'!$D:$D,'Данные'!$A:$A,"&gt;="&amp;EDATE(EDATE(DATE(YEAR($E$3),MONTH($E$3),1),-($E$3&lt;EOMONTH($E$3,0))),-5),'Данные'!$A:$A,"&lt;"&amp;EOMONTH(EDATE(EDATE(DATE(YEAR($E$3),MONTH($E$3),1),-($E$3&lt;EOMONTH($E$3,0))),-5),0)+1,'Данные'!$B:$B,$B$3)</f>
        <v/>
      </c>
      <c r="E49" s="31">
        <f>SUMIFS('Данные'!$E:$E,'Данные'!$A:$A,"&gt;="&amp;EDATE(EDATE(DATE(YEAR($E$3),MONTH($E$3),1),-($E$3&lt;EOMONTH($E$3,0))),-5),'Данные'!$A:$A,"&lt;"&amp;EOMONTH(EDATE(EDATE(DATE(YEAR($E$3),MONTH($E$3),1),-($E$3&lt;EOMONTH($E$3,0))),-5),0)+1,'Данные'!$B:$B,$B$3)</f>
        <v/>
      </c>
      <c r="F49" s="32">
        <f>IFERROR(E49/D49,"")</f>
        <v/>
      </c>
      <c r="G49" s="33">
        <f>IFERROR(B49/E49,"")</f>
        <v/>
      </c>
      <c r="H49" s="31">
        <f>SUMIFS('Данные'!$F:$F,'Данные'!$A:$A,"&gt;="&amp;EDATE(EDATE(DATE(YEAR($E$3),MONTH($E$3),1),-($E$3&lt;EOMONTH($E$3,0))),-5),'Данные'!$A:$A,"&lt;"&amp;EOMONTH(EDATE(EDATE(DATE(YEAR($E$3),MONTH($E$3),1),-($E$3&lt;EOMONTH($E$3,0))),-5),0)+1,'Данные'!$B:$B,$B$3)</f>
        <v/>
      </c>
      <c r="I49" s="33">
        <f>IFERROR(B49/H49,"")</f>
        <v/>
      </c>
      <c r="J49" s="34">
        <f>IFERROR(H49/E49,"")</f>
        <v/>
      </c>
    </row>
    <row r="50">
      <c r="A50" s="36">
        <f>CHOOSE(MONTH(EDATE(EDATE(DATE(YEAR($E$3),MONTH($E$3),1),-($E$3&lt;EOMONTH($E$3,0))),-4)),"Январь","Февраль","Март","Апрель","Май","Июнь","Июль","Август","Сентябрь","Октябрь","Ноябрь","Декабрь")&amp;" "&amp;YEAR(EDATE(EDATE(DATE(YEAR($E$3),MONTH($E$3),1),-($E$3&lt;EOMONTH($E$3,0))),-4))</f>
        <v/>
      </c>
      <c r="B50" s="37">
        <f>SUMIFS('Данные'!$C:$C,'Данные'!$A:$A,"&gt;="&amp;EDATE(EDATE(DATE(YEAR($E$3),MONTH($E$3),1),-($E$3&lt;EOMONTH($E$3,0))),-4),'Данные'!$A:$A,"&lt;"&amp;EOMONTH(EDATE(EDATE(DATE(YEAR($E$3),MONTH($E$3),1),-($E$3&lt;EOMONTH($E$3,0))),-4),0)+1,'Данные'!$B:$B,$B$3)</f>
        <v/>
      </c>
      <c r="C50" s="37">
        <f>B50*(100+22)/100</f>
        <v/>
      </c>
      <c r="D50" s="38">
        <f>SUMIFS('Данные'!$D:$D,'Данные'!$A:$A,"&gt;="&amp;EDATE(EDATE(DATE(YEAR($E$3),MONTH($E$3),1),-($E$3&lt;EOMONTH($E$3,0))),-4),'Данные'!$A:$A,"&lt;"&amp;EOMONTH(EDATE(EDATE(DATE(YEAR($E$3),MONTH($E$3),1),-($E$3&lt;EOMONTH($E$3,0))),-4),0)+1,'Данные'!$B:$B,$B$3)</f>
        <v/>
      </c>
      <c r="E50" s="38">
        <f>SUMIFS('Данные'!$E:$E,'Данные'!$A:$A,"&gt;="&amp;EDATE(EDATE(DATE(YEAR($E$3),MONTH($E$3),1),-($E$3&lt;EOMONTH($E$3,0))),-4),'Данные'!$A:$A,"&lt;"&amp;EOMONTH(EDATE(EDATE(DATE(YEAR($E$3),MONTH($E$3),1),-($E$3&lt;EOMONTH($E$3,0))),-4),0)+1,'Данные'!$B:$B,$B$3)</f>
        <v/>
      </c>
      <c r="F50" s="39">
        <f>IFERROR(E50/D50,"")</f>
        <v/>
      </c>
      <c r="G50" s="40">
        <f>IFERROR(B50/E50,"")</f>
        <v/>
      </c>
      <c r="H50" s="38">
        <f>SUMIFS('Данные'!$F:$F,'Данные'!$A:$A,"&gt;="&amp;EDATE(EDATE(DATE(YEAR($E$3),MONTH($E$3),1),-($E$3&lt;EOMONTH($E$3,0))),-4),'Данные'!$A:$A,"&lt;"&amp;EOMONTH(EDATE(EDATE(DATE(YEAR($E$3),MONTH($E$3),1),-($E$3&lt;EOMONTH($E$3,0))),-4),0)+1,'Данные'!$B:$B,$B$3)</f>
        <v/>
      </c>
      <c r="I50" s="40">
        <f>IFERROR(B50/H50,"")</f>
        <v/>
      </c>
      <c r="J50" s="41">
        <f>IFERROR(H50/E50,"")</f>
        <v/>
      </c>
    </row>
    <row r="51">
      <c r="A51" s="29">
        <f>CHOOSE(MONTH(EDATE(EDATE(DATE(YEAR($E$3),MONTH($E$3),1),-($E$3&lt;EOMONTH($E$3,0))),-3)),"Январь","Февраль","Март","Апрель","Май","Июнь","Июль","Август","Сентябрь","Октябрь","Ноябрь","Декабрь")&amp;" "&amp;YEAR(EDATE(EDATE(DATE(YEAR($E$3),MONTH($E$3),1),-($E$3&lt;EOMONTH($E$3,0))),-3))</f>
        <v/>
      </c>
      <c r="B51" s="30">
        <f>SUMIFS('Данные'!$C:$C,'Данные'!$A:$A,"&gt;="&amp;EDATE(EDATE(DATE(YEAR($E$3),MONTH($E$3),1),-($E$3&lt;EOMONTH($E$3,0))),-3),'Данные'!$A:$A,"&lt;"&amp;EOMONTH(EDATE(EDATE(DATE(YEAR($E$3),MONTH($E$3),1),-($E$3&lt;EOMONTH($E$3,0))),-3),0)+1,'Данные'!$B:$B,$B$3)</f>
        <v/>
      </c>
      <c r="C51" s="30">
        <f>B51*(100+22)/100</f>
        <v/>
      </c>
      <c r="D51" s="31">
        <f>SUMIFS('Данные'!$D:$D,'Данные'!$A:$A,"&gt;="&amp;EDATE(EDATE(DATE(YEAR($E$3),MONTH($E$3),1),-($E$3&lt;EOMONTH($E$3,0))),-3),'Данные'!$A:$A,"&lt;"&amp;EOMONTH(EDATE(EDATE(DATE(YEAR($E$3),MONTH($E$3),1),-($E$3&lt;EOMONTH($E$3,0))),-3),0)+1,'Данные'!$B:$B,$B$3)</f>
        <v/>
      </c>
      <c r="E51" s="31">
        <f>SUMIFS('Данные'!$E:$E,'Данные'!$A:$A,"&gt;="&amp;EDATE(EDATE(DATE(YEAR($E$3),MONTH($E$3),1),-($E$3&lt;EOMONTH($E$3,0))),-3),'Данные'!$A:$A,"&lt;"&amp;EOMONTH(EDATE(EDATE(DATE(YEAR($E$3),MONTH($E$3),1),-($E$3&lt;EOMONTH($E$3,0))),-3),0)+1,'Данные'!$B:$B,$B$3)</f>
        <v/>
      </c>
      <c r="F51" s="32">
        <f>IFERROR(E51/D51,"")</f>
        <v/>
      </c>
      <c r="G51" s="33">
        <f>IFERROR(B51/E51,"")</f>
        <v/>
      </c>
      <c r="H51" s="31">
        <f>SUMIFS('Данные'!$F:$F,'Данные'!$A:$A,"&gt;="&amp;EDATE(EDATE(DATE(YEAR($E$3),MONTH($E$3),1),-($E$3&lt;EOMONTH($E$3,0))),-3),'Данные'!$A:$A,"&lt;"&amp;EOMONTH(EDATE(EDATE(DATE(YEAR($E$3),MONTH($E$3),1),-($E$3&lt;EOMONTH($E$3,0))),-3),0)+1,'Данные'!$B:$B,$B$3)</f>
        <v/>
      </c>
      <c r="I51" s="33">
        <f>IFERROR(B51/H51,"")</f>
        <v/>
      </c>
      <c r="J51" s="34">
        <f>IFERROR(H51/E51,"")</f>
        <v/>
      </c>
    </row>
    <row r="52">
      <c r="A52" s="36">
        <f>CHOOSE(MONTH(EDATE(EDATE(DATE(YEAR($E$3),MONTH($E$3),1),-($E$3&lt;EOMONTH($E$3,0))),-2)),"Январь","Февраль","Март","Апрель","Май","Июнь","Июль","Август","Сентябрь","Октябрь","Ноябрь","Декабрь")&amp;" "&amp;YEAR(EDATE(EDATE(DATE(YEAR($E$3),MONTH($E$3),1),-($E$3&lt;EOMONTH($E$3,0))),-2))</f>
        <v/>
      </c>
      <c r="B52" s="37">
        <f>SUMIFS('Данные'!$C:$C,'Данные'!$A:$A,"&gt;="&amp;EDATE(EDATE(DATE(YEAR($E$3),MONTH($E$3),1),-($E$3&lt;EOMONTH($E$3,0))),-2),'Данные'!$A:$A,"&lt;"&amp;EOMONTH(EDATE(EDATE(DATE(YEAR($E$3),MONTH($E$3),1),-($E$3&lt;EOMONTH($E$3,0))),-2),0)+1,'Данные'!$B:$B,$B$3)</f>
        <v/>
      </c>
      <c r="C52" s="37">
        <f>B52*(100+22)/100</f>
        <v/>
      </c>
      <c r="D52" s="38">
        <f>SUMIFS('Данные'!$D:$D,'Данные'!$A:$A,"&gt;="&amp;EDATE(EDATE(DATE(YEAR($E$3),MONTH($E$3),1),-($E$3&lt;EOMONTH($E$3,0))),-2),'Данные'!$A:$A,"&lt;"&amp;EOMONTH(EDATE(EDATE(DATE(YEAR($E$3),MONTH($E$3),1),-($E$3&lt;EOMONTH($E$3,0))),-2),0)+1,'Данные'!$B:$B,$B$3)</f>
        <v/>
      </c>
      <c r="E52" s="38">
        <f>SUMIFS('Данные'!$E:$E,'Данные'!$A:$A,"&gt;="&amp;EDATE(EDATE(DATE(YEAR($E$3),MONTH($E$3),1),-($E$3&lt;EOMONTH($E$3,0))),-2),'Данные'!$A:$A,"&lt;"&amp;EOMONTH(EDATE(EDATE(DATE(YEAR($E$3),MONTH($E$3),1),-($E$3&lt;EOMONTH($E$3,0))),-2),0)+1,'Данные'!$B:$B,$B$3)</f>
        <v/>
      </c>
      <c r="F52" s="39">
        <f>IFERROR(E52/D52,"")</f>
        <v/>
      </c>
      <c r="G52" s="40">
        <f>IFERROR(B52/E52,"")</f>
        <v/>
      </c>
      <c r="H52" s="38">
        <f>SUMIFS('Данные'!$F:$F,'Данные'!$A:$A,"&gt;="&amp;EDATE(EDATE(DATE(YEAR($E$3),MONTH($E$3),1),-($E$3&lt;EOMONTH($E$3,0))),-2),'Данные'!$A:$A,"&lt;"&amp;EOMONTH(EDATE(EDATE(DATE(YEAR($E$3),MONTH($E$3),1),-($E$3&lt;EOMONTH($E$3,0))),-2),0)+1,'Данные'!$B:$B,$B$3)</f>
        <v/>
      </c>
      <c r="I52" s="40">
        <f>IFERROR(B52/H52,"")</f>
        <v/>
      </c>
      <c r="J52" s="41">
        <f>IFERROR(H52/E52,"")</f>
        <v/>
      </c>
    </row>
    <row r="53">
      <c r="A53" s="29">
        <f>CHOOSE(MONTH(EDATE(EDATE(DATE(YEAR($E$3),MONTH($E$3),1),-($E$3&lt;EOMONTH($E$3,0))),-1)),"Январь","Февраль","Март","Апрель","Май","Июнь","Июль","Август","Сентябрь","Октябрь","Ноябрь","Декабрь")&amp;" "&amp;YEAR(EDATE(EDATE(DATE(YEAR($E$3),MONTH($E$3),1),-($E$3&lt;EOMONTH($E$3,0))),-1))</f>
        <v/>
      </c>
      <c r="B53" s="30">
        <f>SUMIFS('Данные'!$C:$C,'Данные'!$A:$A,"&gt;="&amp;EDATE(EDATE(DATE(YEAR($E$3),MONTH($E$3),1),-($E$3&lt;EOMONTH($E$3,0))),-1),'Данные'!$A:$A,"&lt;"&amp;EOMONTH(EDATE(EDATE(DATE(YEAR($E$3),MONTH($E$3),1),-($E$3&lt;EOMONTH($E$3,0))),-1),0)+1,'Данные'!$B:$B,$B$3)</f>
        <v/>
      </c>
      <c r="C53" s="30">
        <f>B53*(100+22)/100</f>
        <v/>
      </c>
      <c r="D53" s="31">
        <f>SUMIFS('Данные'!$D:$D,'Данные'!$A:$A,"&gt;="&amp;EDATE(EDATE(DATE(YEAR($E$3),MONTH($E$3),1),-($E$3&lt;EOMONTH($E$3,0))),-1),'Данные'!$A:$A,"&lt;"&amp;EOMONTH(EDATE(EDATE(DATE(YEAR($E$3),MONTH($E$3),1),-($E$3&lt;EOMONTH($E$3,0))),-1),0)+1,'Данные'!$B:$B,$B$3)</f>
        <v/>
      </c>
      <c r="E53" s="31">
        <f>SUMIFS('Данные'!$E:$E,'Данные'!$A:$A,"&gt;="&amp;EDATE(EDATE(DATE(YEAR($E$3),MONTH($E$3),1),-($E$3&lt;EOMONTH($E$3,0))),-1),'Данные'!$A:$A,"&lt;"&amp;EOMONTH(EDATE(EDATE(DATE(YEAR($E$3),MONTH($E$3),1),-($E$3&lt;EOMONTH($E$3,0))),-1),0)+1,'Данные'!$B:$B,$B$3)</f>
        <v/>
      </c>
      <c r="F53" s="32">
        <f>IFERROR(E53/D53,"")</f>
        <v/>
      </c>
      <c r="G53" s="33">
        <f>IFERROR(B53/E53,"")</f>
        <v/>
      </c>
      <c r="H53" s="31">
        <f>SUMIFS('Данные'!$F:$F,'Данные'!$A:$A,"&gt;="&amp;EDATE(EDATE(DATE(YEAR($E$3),MONTH($E$3),1),-($E$3&lt;EOMONTH($E$3,0))),-1),'Данные'!$A:$A,"&lt;"&amp;EOMONTH(EDATE(EDATE(DATE(YEAR($E$3),MONTH($E$3),1),-($E$3&lt;EOMONTH($E$3,0))),-1),0)+1,'Данные'!$B:$B,$B$3)</f>
        <v/>
      </c>
      <c r="I53" s="33">
        <f>IFERROR(B53/H53,"")</f>
        <v/>
      </c>
      <c r="J53" s="34">
        <f>IFERROR(H53/E53,"")</f>
        <v/>
      </c>
    </row>
    <row r="54">
      <c r="A54" s="36">
        <f>CHOOSE(MONTH(EDATE(EDATE(DATE(YEAR($E$3),MONTH($E$3),1),-($E$3&lt;EOMONTH($E$3,0))),0)),"Январь","Февраль","Март","Апрель","Май","Июнь","Июль","Август","Сентябрь","Октябрь","Ноябрь","Декабрь")&amp;" "&amp;YEAR(EDATE(EDATE(DATE(YEAR($E$3),MONTH($E$3),1),-($E$3&lt;EOMONTH($E$3,0))),0))</f>
        <v/>
      </c>
      <c r="B54" s="37">
        <f>SUMIFS('Данные'!$C:$C,'Данные'!$A:$A,"&gt;="&amp;EDATE(EDATE(DATE(YEAR($E$3),MONTH($E$3),1),-($E$3&lt;EOMONTH($E$3,0))),0),'Данные'!$A:$A,"&lt;"&amp;EOMONTH(EDATE(EDATE(DATE(YEAR($E$3),MONTH($E$3),1),-($E$3&lt;EOMONTH($E$3,0))),0),0)+1,'Данные'!$B:$B,$B$3)</f>
        <v/>
      </c>
      <c r="C54" s="37">
        <f>B54*(100+22)/100</f>
        <v/>
      </c>
      <c r="D54" s="38">
        <f>SUMIFS('Данные'!$D:$D,'Данные'!$A:$A,"&gt;="&amp;EDATE(EDATE(DATE(YEAR($E$3),MONTH($E$3),1),-($E$3&lt;EOMONTH($E$3,0))),0),'Данные'!$A:$A,"&lt;"&amp;EOMONTH(EDATE(EDATE(DATE(YEAR($E$3),MONTH($E$3),1),-($E$3&lt;EOMONTH($E$3,0))),0),0)+1,'Данные'!$B:$B,$B$3)</f>
        <v/>
      </c>
      <c r="E54" s="38">
        <f>SUMIFS('Данные'!$E:$E,'Данные'!$A:$A,"&gt;="&amp;EDATE(EDATE(DATE(YEAR($E$3),MONTH($E$3),1),-($E$3&lt;EOMONTH($E$3,0))),0),'Данные'!$A:$A,"&lt;"&amp;EOMONTH(EDATE(EDATE(DATE(YEAR($E$3),MONTH($E$3),1),-($E$3&lt;EOMONTH($E$3,0))),0),0)+1,'Данные'!$B:$B,$B$3)</f>
        <v/>
      </c>
      <c r="F54" s="39">
        <f>IFERROR(E54/D54,"")</f>
        <v/>
      </c>
      <c r="G54" s="40">
        <f>IFERROR(B54/E54,"")</f>
        <v/>
      </c>
      <c r="H54" s="38">
        <f>SUMIFS('Данные'!$F:$F,'Данные'!$A:$A,"&gt;="&amp;EDATE(EDATE(DATE(YEAR($E$3),MONTH($E$3),1),-($E$3&lt;EOMONTH($E$3,0))),0),'Данные'!$A:$A,"&lt;"&amp;EOMONTH(EDATE(EDATE(DATE(YEAR($E$3),MONTH($E$3),1),-($E$3&lt;EOMONTH($E$3,0))),0),0)+1,'Данные'!$B:$B,$B$3)</f>
        <v/>
      </c>
      <c r="I54" s="40">
        <f>IFERROR(B54/H54,"")</f>
        <v/>
      </c>
      <c r="J54" s="41">
        <f>IFERROR(H54/E54,"")</f>
        <v/>
      </c>
    </row>
    <row r="55">
      <c r="A55" s="59" t="inlineStr">
        <is>
          <t>Разница с прошлым месяцем</t>
        </is>
      </c>
      <c r="B55" s="60">
        <f>IFERROR(B54/B53-1,"")</f>
        <v/>
      </c>
      <c r="C55" s="60">
        <f>IFERROR(C54/C53-1,"")</f>
        <v/>
      </c>
      <c r="D55" s="60">
        <f>IFERROR(D54/D53-1,"")</f>
        <v/>
      </c>
      <c r="E55" s="60">
        <f>IFERROR(E54/E53-1,"")</f>
        <v/>
      </c>
      <c r="F55" s="60">
        <f>IFERROR(F54/F53-1,"")</f>
        <v/>
      </c>
      <c r="G55" s="60">
        <f>IFERROR(G54/G53-1,"")</f>
        <v/>
      </c>
      <c r="H55" s="60">
        <f>IFERROR(H54/H53-1,"")</f>
        <v/>
      </c>
      <c r="I55" s="60">
        <f>IFERROR(I54/I53-1,"")</f>
        <v/>
      </c>
      <c r="J55" s="60">
        <f>IFERROR(J54/J53-1,"")</f>
        <v/>
      </c>
    </row>
    <row r="57">
      <c r="A57" s="9">
        <f>"📆 По дням: "&amp;TEXT($K$7,"DD.MM.YYYY")&amp;" — "&amp;TEXT($L$7,"DD.MM.YYYY")</f>
        <v/>
      </c>
    </row>
    <row r="58">
      <c r="A58" s="11" t="inlineStr">
        <is>
          <t>День</t>
        </is>
      </c>
      <c r="B58" s="11" t="inlineStr">
        <is>
          <t>Расход</t>
        </is>
      </c>
      <c r="C58" s="11" t="inlineStr">
        <is>
          <t>Расход с НДС</t>
        </is>
      </c>
      <c r="D58" s="11" t="inlineStr">
        <is>
          <t>Показы</t>
        </is>
      </c>
      <c r="E58" s="11" t="inlineStr">
        <is>
          <t>Клики</t>
        </is>
      </c>
      <c r="F58" s="11" t="inlineStr">
        <is>
          <t>CTR</t>
        </is>
      </c>
      <c r="G58" s="11" t="inlineStr">
        <is>
          <t>CPC</t>
        </is>
      </c>
      <c r="H58" s="11" t="inlineStr">
        <is>
          <t>Подписки</t>
        </is>
      </c>
      <c r="I58" s="11" t="inlineStr">
        <is>
          <t>Цена подписки</t>
        </is>
      </c>
      <c r="J58" s="11" t="inlineStr">
        <is>
          <t>CR в подписку</t>
        </is>
      </c>
    </row>
    <row r="59">
      <c r="A59" s="29">
        <f>IF(($K$7+0)&gt;$L$7,"",TEXT(($K$7+0),"DD.MM")&amp;" "&amp;CHOOSE(WEEKDAY(($K$7+0),2),"пн","вт","ср","чт","пт","сб","вс"))</f>
        <v/>
      </c>
      <c r="B59" s="30">
        <f>IF(($K$7+0)&gt;$L$7,"",SUMIFS('Данные'!$C:$C,'Данные'!$A:$A,"&gt;="&amp;($K$7+0),'Данные'!$A:$A,"&lt;"&amp;($K$7+0)+1,'Данные'!$B:$B,$B$3))</f>
        <v/>
      </c>
      <c r="C59" s="30">
        <f>IF(($K$7+0)&gt;$L$7,"",B59*(100+22)/100)</f>
        <v/>
      </c>
      <c r="D59" s="31">
        <f>IF(($K$7+0)&gt;$L$7,"",SUMIFS('Данные'!$D:$D,'Данные'!$A:$A,"&gt;="&amp;($K$7+0),'Данные'!$A:$A,"&lt;"&amp;($K$7+0)+1,'Данные'!$B:$B,$B$3))</f>
        <v/>
      </c>
      <c r="E59" s="31">
        <f>IF(($K$7+0)&gt;$L$7,"",SUMIFS('Данные'!$E:$E,'Данные'!$A:$A,"&gt;="&amp;($K$7+0),'Данные'!$A:$A,"&lt;"&amp;($K$7+0)+1,'Данные'!$B:$B,$B$3))</f>
        <v/>
      </c>
      <c r="F59" s="32">
        <f>IF(($K$7+0)&gt;$L$7,"",IFERROR(E59/D59,""))</f>
        <v/>
      </c>
      <c r="G59" s="33">
        <f>IF(($K$7+0)&gt;$L$7,"",IFERROR(B59/E59,""))</f>
        <v/>
      </c>
      <c r="H59" s="31">
        <f>IF(($K$7+0)&gt;$L$7,"",SUMIFS('Данные'!$F:$F,'Данные'!$A:$A,"&gt;="&amp;($K$7+0),'Данные'!$A:$A,"&lt;"&amp;($K$7+0)+1,'Данные'!$B:$B,$B$3))</f>
        <v/>
      </c>
      <c r="I59" s="33">
        <f>IF(($K$7+0)&gt;$L$7,"",IFERROR(B59/H59,""))</f>
        <v/>
      </c>
      <c r="J59" s="34">
        <f>IF(($K$7+0)&gt;$L$7,"",IFERROR(H59/E59,""))</f>
        <v/>
      </c>
    </row>
    <row r="60">
      <c r="A60" s="36">
        <f>IF(($K$7+1)&gt;$L$7,"",TEXT(($K$7+1),"DD.MM")&amp;" "&amp;CHOOSE(WEEKDAY(($K$7+1),2),"пн","вт","ср","чт","пт","сб","вс"))</f>
        <v/>
      </c>
      <c r="B60" s="37">
        <f>IF(($K$7+1)&gt;$L$7,"",SUMIFS('Данные'!$C:$C,'Данные'!$A:$A,"&gt;="&amp;($K$7+1),'Данные'!$A:$A,"&lt;"&amp;($K$7+1)+1,'Данные'!$B:$B,$B$3))</f>
        <v/>
      </c>
      <c r="C60" s="37">
        <f>IF(($K$7+1)&gt;$L$7,"",B60*(100+22)/100)</f>
        <v/>
      </c>
      <c r="D60" s="38">
        <f>IF(($K$7+1)&gt;$L$7,"",SUMIFS('Данные'!$D:$D,'Данные'!$A:$A,"&gt;="&amp;($K$7+1),'Данные'!$A:$A,"&lt;"&amp;($K$7+1)+1,'Данные'!$B:$B,$B$3))</f>
        <v/>
      </c>
      <c r="E60" s="38">
        <f>IF(($K$7+1)&gt;$L$7,"",SUMIFS('Данные'!$E:$E,'Данные'!$A:$A,"&gt;="&amp;($K$7+1),'Данные'!$A:$A,"&lt;"&amp;($K$7+1)+1,'Данные'!$B:$B,$B$3))</f>
        <v/>
      </c>
      <c r="F60" s="39">
        <f>IF(($K$7+1)&gt;$L$7,"",IFERROR(E60/D60,""))</f>
        <v/>
      </c>
      <c r="G60" s="40">
        <f>IF(($K$7+1)&gt;$L$7,"",IFERROR(B60/E60,""))</f>
        <v/>
      </c>
      <c r="H60" s="38">
        <f>IF(($K$7+1)&gt;$L$7,"",SUMIFS('Данные'!$F:$F,'Данные'!$A:$A,"&gt;="&amp;($K$7+1),'Данные'!$A:$A,"&lt;"&amp;($K$7+1)+1,'Данные'!$B:$B,$B$3))</f>
        <v/>
      </c>
      <c r="I60" s="40">
        <f>IF(($K$7+1)&gt;$L$7,"",IFERROR(B60/H60,""))</f>
        <v/>
      </c>
      <c r="J60" s="41">
        <f>IF(($K$7+1)&gt;$L$7,"",IFERROR(H60/E60,""))</f>
        <v/>
      </c>
    </row>
    <row r="61">
      <c r="A61" s="29">
        <f>IF(($K$7+2)&gt;$L$7,"",TEXT(($K$7+2),"DD.MM")&amp;" "&amp;CHOOSE(WEEKDAY(($K$7+2),2),"пн","вт","ср","чт","пт","сб","вс"))</f>
        <v/>
      </c>
      <c r="B61" s="30">
        <f>IF(($K$7+2)&gt;$L$7,"",SUMIFS('Данные'!$C:$C,'Данные'!$A:$A,"&gt;="&amp;($K$7+2),'Данные'!$A:$A,"&lt;"&amp;($K$7+2)+1,'Данные'!$B:$B,$B$3))</f>
        <v/>
      </c>
      <c r="C61" s="30">
        <f>IF(($K$7+2)&gt;$L$7,"",B61*(100+22)/100)</f>
        <v/>
      </c>
      <c r="D61" s="31">
        <f>IF(($K$7+2)&gt;$L$7,"",SUMIFS('Данные'!$D:$D,'Данные'!$A:$A,"&gt;="&amp;($K$7+2),'Данные'!$A:$A,"&lt;"&amp;($K$7+2)+1,'Данные'!$B:$B,$B$3))</f>
        <v/>
      </c>
      <c r="E61" s="31">
        <f>IF(($K$7+2)&gt;$L$7,"",SUMIFS('Данные'!$E:$E,'Данные'!$A:$A,"&gt;="&amp;($K$7+2),'Данные'!$A:$A,"&lt;"&amp;($K$7+2)+1,'Данные'!$B:$B,$B$3))</f>
        <v/>
      </c>
      <c r="F61" s="32">
        <f>IF(($K$7+2)&gt;$L$7,"",IFERROR(E61/D61,""))</f>
        <v/>
      </c>
      <c r="G61" s="33">
        <f>IF(($K$7+2)&gt;$L$7,"",IFERROR(B61/E61,""))</f>
        <v/>
      </c>
      <c r="H61" s="31">
        <f>IF(($K$7+2)&gt;$L$7,"",SUMIFS('Данные'!$F:$F,'Данные'!$A:$A,"&gt;="&amp;($K$7+2),'Данные'!$A:$A,"&lt;"&amp;($K$7+2)+1,'Данные'!$B:$B,$B$3))</f>
        <v/>
      </c>
      <c r="I61" s="33">
        <f>IF(($K$7+2)&gt;$L$7,"",IFERROR(B61/H61,""))</f>
        <v/>
      </c>
      <c r="J61" s="34">
        <f>IF(($K$7+2)&gt;$L$7,"",IFERROR(H61/E61,""))</f>
        <v/>
      </c>
    </row>
    <row r="62">
      <c r="A62" s="36">
        <f>IF(($K$7+3)&gt;$L$7,"",TEXT(($K$7+3),"DD.MM")&amp;" "&amp;CHOOSE(WEEKDAY(($K$7+3),2),"пн","вт","ср","чт","пт","сб","вс"))</f>
        <v/>
      </c>
      <c r="B62" s="37">
        <f>IF(($K$7+3)&gt;$L$7,"",SUMIFS('Данные'!$C:$C,'Данные'!$A:$A,"&gt;="&amp;($K$7+3),'Данные'!$A:$A,"&lt;"&amp;($K$7+3)+1,'Данные'!$B:$B,$B$3))</f>
        <v/>
      </c>
      <c r="C62" s="37">
        <f>IF(($K$7+3)&gt;$L$7,"",B62*(100+22)/100)</f>
        <v/>
      </c>
      <c r="D62" s="38">
        <f>IF(($K$7+3)&gt;$L$7,"",SUMIFS('Данные'!$D:$D,'Данные'!$A:$A,"&gt;="&amp;($K$7+3),'Данные'!$A:$A,"&lt;"&amp;($K$7+3)+1,'Данные'!$B:$B,$B$3))</f>
        <v/>
      </c>
      <c r="E62" s="38">
        <f>IF(($K$7+3)&gt;$L$7,"",SUMIFS('Данные'!$E:$E,'Данные'!$A:$A,"&gt;="&amp;($K$7+3),'Данные'!$A:$A,"&lt;"&amp;($K$7+3)+1,'Данные'!$B:$B,$B$3))</f>
        <v/>
      </c>
      <c r="F62" s="39">
        <f>IF(($K$7+3)&gt;$L$7,"",IFERROR(E62/D62,""))</f>
        <v/>
      </c>
      <c r="G62" s="40">
        <f>IF(($K$7+3)&gt;$L$7,"",IFERROR(B62/E62,""))</f>
        <v/>
      </c>
      <c r="H62" s="38">
        <f>IF(($K$7+3)&gt;$L$7,"",SUMIFS('Данные'!$F:$F,'Данные'!$A:$A,"&gt;="&amp;($K$7+3),'Данные'!$A:$A,"&lt;"&amp;($K$7+3)+1,'Данные'!$B:$B,$B$3))</f>
        <v/>
      </c>
      <c r="I62" s="40">
        <f>IF(($K$7+3)&gt;$L$7,"",IFERROR(B62/H62,""))</f>
        <v/>
      </c>
      <c r="J62" s="41">
        <f>IF(($K$7+3)&gt;$L$7,"",IFERROR(H62/E62,""))</f>
        <v/>
      </c>
    </row>
    <row r="63">
      <c r="A63" s="29">
        <f>IF(($K$7+4)&gt;$L$7,"",TEXT(($K$7+4),"DD.MM")&amp;" "&amp;CHOOSE(WEEKDAY(($K$7+4),2),"пн","вт","ср","чт","пт","сб","вс"))</f>
        <v/>
      </c>
      <c r="B63" s="30">
        <f>IF(($K$7+4)&gt;$L$7,"",SUMIFS('Данные'!$C:$C,'Данные'!$A:$A,"&gt;="&amp;($K$7+4),'Данные'!$A:$A,"&lt;"&amp;($K$7+4)+1,'Данные'!$B:$B,$B$3))</f>
        <v/>
      </c>
      <c r="C63" s="30">
        <f>IF(($K$7+4)&gt;$L$7,"",B63*(100+22)/100)</f>
        <v/>
      </c>
      <c r="D63" s="31">
        <f>IF(($K$7+4)&gt;$L$7,"",SUMIFS('Данные'!$D:$D,'Данные'!$A:$A,"&gt;="&amp;($K$7+4),'Данные'!$A:$A,"&lt;"&amp;($K$7+4)+1,'Данные'!$B:$B,$B$3))</f>
        <v/>
      </c>
      <c r="E63" s="31">
        <f>IF(($K$7+4)&gt;$L$7,"",SUMIFS('Данные'!$E:$E,'Данные'!$A:$A,"&gt;="&amp;($K$7+4),'Данные'!$A:$A,"&lt;"&amp;($K$7+4)+1,'Данные'!$B:$B,$B$3))</f>
        <v/>
      </c>
      <c r="F63" s="32">
        <f>IF(($K$7+4)&gt;$L$7,"",IFERROR(E63/D63,""))</f>
        <v/>
      </c>
      <c r="G63" s="33">
        <f>IF(($K$7+4)&gt;$L$7,"",IFERROR(B63/E63,""))</f>
        <v/>
      </c>
      <c r="H63" s="31">
        <f>IF(($K$7+4)&gt;$L$7,"",SUMIFS('Данные'!$F:$F,'Данные'!$A:$A,"&gt;="&amp;($K$7+4),'Данные'!$A:$A,"&lt;"&amp;($K$7+4)+1,'Данные'!$B:$B,$B$3))</f>
        <v/>
      </c>
      <c r="I63" s="33">
        <f>IF(($K$7+4)&gt;$L$7,"",IFERROR(B63/H63,""))</f>
        <v/>
      </c>
      <c r="J63" s="34">
        <f>IF(($K$7+4)&gt;$L$7,"",IFERROR(H63/E63,""))</f>
        <v/>
      </c>
    </row>
    <row r="64">
      <c r="A64" s="36">
        <f>IF(($K$7+5)&gt;$L$7,"",TEXT(($K$7+5),"DD.MM")&amp;" "&amp;CHOOSE(WEEKDAY(($K$7+5),2),"пн","вт","ср","чт","пт","сб","вс"))</f>
        <v/>
      </c>
      <c r="B64" s="37">
        <f>IF(($K$7+5)&gt;$L$7,"",SUMIFS('Данные'!$C:$C,'Данные'!$A:$A,"&gt;="&amp;($K$7+5),'Данные'!$A:$A,"&lt;"&amp;($K$7+5)+1,'Данные'!$B:$B,$B$3))</f>
        <v/>
      </c>
      <c r="C64" s="37">
        <f>IF(($K$7+5)&gt;$L$7,"",B64*(100+22)/100)</f>
        <v/>
      </c>
      <c r="D64" s="38">
        <f>IF(($K$7+5)&gt;$L$7,"",SUMIFS('Данные'!$D:$D,'Данные'!$A:$A,"&gt;="&amp;($K$7+5),'Данные'!$A:$A,"&lt;"&amp;($K$7+5)+1,'Данные'!$B:$B,$B$3))</f>
        <v/>
      </c>
      <c r="E64" s="38">
        <f>IF(($K$7+5)&gt;$L$7,"",SUMIFS('Данные'!$E:$E,'Данные'!$A:$A,"&gt;="&amp;($K$7+5),'Данные'!$A:$A,"&lt;"&amp;($K$7+5)+1,'Данные'!$B:$B,$B$3))</f>
        <v/>
      </c>
      <c r="F64" s="39">
        <f>IF(($K$7+5)&gt;$L$7,"",IFERROR(E64/D64,""))</f>
        <v/>
      </c>
      <c r="G64" s="40">
        <f>IF(($K$7+5)&gt;$L$7,"",IFERROR(B64/E64,""))</f>
        <v/>
      </c>
      <c r="H64" s="38">
        <f>IF(($K$7+5)&gt;$L$7,"",SUMIFS('Данные'!$F:$F,'Данные'!$A:$A,"&gt;="&amp;($K$7+5),'Данные'!$A:$A,"&lt;"&amp;($K$7+5)+1,'Данные'!$B:$B,$B$3))</f>
        <v/>
      </c>
      <c r="I64" s="40">
        <f>IF(($K$7+5)&gt;$L$7,"",IFERROR(B64/H64,""))</f>
        <v/>
      </c>
      <c r="J64" s="41">
        <f>IF(($K$7+5)&gt;$L$7,"",IFERROR(H64/E64,""))</f>
        <v/>
      </c>
    </row>
    <row r="65">
      <c r="A65" s="29">
        <f>IF(($K$7+6)&gt;$L$7,"",TEXT(($K$7+6),"DD.MM")&amp;" "&amp;CHOOSE(WEEKDAY(($K$7+6),2),"пн","вт","ср","чт","пт","сб","вс"))</f>
        <v/>
      </c>
      <c r="B65" s="30">
        <f>IF(($K$7+6)&gt;$L$7,"",SUMIFS('Данные'!$C:$C,'Данные'!$A:$A,"&gt;="&amp;($K$7+6),'Данные'!$A:$A,"&lt;"&amp;($K$7+6)+1,'Данные'!$B:$B,$B$3))</f>
        <v/>
      </c>
      <c r="C65" s="30">
        <f>IF(($K$7+6)&gt;$L$7,"",B65*(100+22)/100)</f>
        <v/>
      </c>
      <c r="D65" s="31">
        <f>IF(($K$7+6)&gt;$L$7,"",SUMIFS('Данные'!$D:$D,'Данные'!$A:$A,"&gt;="&amp;($K$7+6),'Данные'!$A:$A,"&lt;"&amp;($K$7+6)+1,'Данные'!$B:$B,$B$3))</f>
        <v/>
      </c>
      <c r="E65" s="31">
        <f>IF(($K$7+6)&gt;$L$7,"",SUMIFS('Данные'!$E:$E,'Данные'!$A:$A,"&gt;="&amp;($K$7+6),'Данные'!$A:$A,"&lt;"&amp;($K$7+6)+1,'Данные'!$B:$B,$B$3))</f>
        <v/>
      </c>
      <c r="F65" s="32">
        <f>IF(($K$7+6)&gt;$L$7,"",IFERROR(E65/D65,""))</f>
        <v/>
      </c>
      <c r="G65" s="33">
        <f>IF(($K$7+6)&gt;$L$7,"",IFERROR(B65/E65,""))</f>
        <v/>
      </c>
      <c r="H65" s="31">
        <f>IF(($K$7+6)&gt;$L$7,"",SUMIFS('Данные'!$F:$F,'Данные'!$A:$A,"&gt;="&amp;($K$7+6),'Данные'!$A:$A,"&lt;"&amp;($K$7+6)+1,'Данные'!$B:$B,$B$3))</f>
        <v/>
      </c>
      <c r="I65" s="33">
        <f>IF(($K$7+6)&gt;$L$7,"",IFERROR(B65/H65,""))</f>
        <v/>
      </c>
      <c r="J65" s="34">
        <f>IF(($K$7+6)&gt;$L$7,"",IFERROR(H65/E65,""))</f>
        <v/>
      </c>
    </row>
    <row r="66">
      <c r="A66" s="36">
        <f>IF(($K$7+7)&gt;$L$7,"",TEXT(($K$7+7),"DD.MM")&amp;" "&amp;CHOOSE(WEEKDAY(($K$7+7),2),"пн","вт","ср","чт","пт","сб","вс"))</f>
        <v/>
      </c>
      <c r="B66" s="37">
        <f>IF(($K$7+7)&gt;$L$7,"",SUMIFS('Данные'!$C:$C,'Данные'!$A:$A,"&gt;="&amp;($K$7+7),'Данные'!$A:$A,"&lt;"&amp;($K$7+7)+1,'Данные'!$B:$B,$B$3))</f>
        <v/>
      </c>
      <c r="C66" s="37">
        <f>IF(($K$7+7)&gt;$L$7,"",B66*(100+22)/100)</f>
        <v/>
      </c>
      <c r="D66" s="38">
        <f>IF(($K$7+7)&gt;$L$7,"",SUMIFS('Данные'!$D:$D,'Данные'!$A:$A,"&gt;="&amp;($K$7+7),'Данные'!$A:$A,"&lt;"&amp;($K$7+7)+1,'Данные'!$B:$B,$B$3))</f>
        <v/>
      </c>
      <c r="E66" s="38">
        <f>IF(($K$7+7)&gt;$L$7,"",SUMIFS('Данные'!$E:$E,'Данные'!$A:$A,"&gt;="&amp;($K$7+7),'Данные'!$A:$A,"&lt;"&amp;($K$7+7)+1,'Данные'!$B:$B,$B$3))</f>
        <v/>
      </c>
      <c r="F66" s="39">
        <f>IF(($K$7+7)&gt;$L$7,"",IFERROR(E66/D66,""))</f>
        <v/>
      </c>
      <c r="G66" s="40">
        <f>IF(($K$7+7)&gt;$L$7,"",IFERROR(B66/E66,""))</f>
        <v/>
      </c>
      <c r="H66" s="38">
        <f>IF(($K$7+7)&gt;$L$7,"",SUMIFS('Данные'!$F:$F,'Данные'!$A:$A,"&gt;="&amp;($K$7+7),'Данные'!$A:$A,"&lt;"&amp;($K$7+7)+1,'Данные'!$B:$B,$B$3))</f>
        <v/>
      </c>
      <c r="I66" s="40">
        <f>IF(($K$7+7)&gt;$L$7,"",IFERROR(B66/H66,""))</f>
        <v/>
      </c>
      <c r="J66" s="41">
        <f>IF(($K$7+7)&gt;$L$7,"",IFERROR(H66/E66,""))</f>
        <v/>
      </c>
    </row>
    <row r="67">
      <c r="A67" s="29">
        <f>IF(($K$7+8)&gt;$L$7,"",TEXT(($K$7+8),"DD.MM")&amp;" "&amp;CHOOSE(WEEKDAY(($K$7+8),2),"пн","вт","ср","чт","пт","сб","вс"))</f>
        <v/>
      </c>
      <c r="B67" s="30">
        <f>IF(($K$7+8)&gt;$L$7,"",SUMIFS('Данные'!$C:$C,'Данные'!$A:$A,"&gt;="&amp;($K$7+8),'Данные'!$A:$A,"&lt;"&amp;($K$7+8)+1,'Данные'!$B:$B,$B$3))</f>
        <v/>
      </c>
      <c r="C67" s="30">
        <f>IF(($K$7+8)&gt;$L$7,"",B67*(100+22)/100)</f>
        <v/>
      </c>
      <c r="D67" s="31">
        <f>IF(($K$7+8)&gt;$L$7,"",SUMIFS('Данные'!$D:$D,'Данные'!$A:$A,"&gt;="&amp;($K$7+8),'Данные'!$A:$A,"&lt;"&amp;($K$7+8)+1,'Данные'!$B:$B,$B$3))</f>
        <v/>
      </c>
      <c r="E67" s="31">
        <f>IF(($K$7+8)&gt;$L$7,"",SUMIFS('Данные'!$E:$E,'Данные'!$A:$A,"&gt;="&amp;($K$7+8),'Данные'!$A:$A,"&lt;"&amp;($K$7+8)+1,'Данные'!$B:$B,$B$3))</f>
        <v/>
      </c>
      <c r="F67" s="32">
        <f>IF(($K$7+8)&gt;$L$7,"",IFERROR(E67/D67,""))</f>
        <v/>
      </c>
      <c r="G67" s="33">
        <f>IF(($K$7+8)&gt;$L$7,"",IFERROR(B67/E67,""))</f>
        <v/>
      </c>
      <c r="H67" s="31">
        <f>IF(($K$7+8)&gt;$L$7,"",SUMIFS('Данные'!$F:$F,'Данные'!$A:$A,"&gt;="&amp;($K$7+8),'Данные'!$A:$A,"&lt;"&amp;($K$7+8)+1,'Данные'!$B:$B,$B$3))</f>
        <v/>
      </c>
      <c r="I67" s="33">
        <f>IF(($K$7+8)&gt;$L$7,"",IFERROR(B67/H67,""))</f>
        <v/>
      </c>
      <c r="J67" s="34">
        <f>IF(($K$7+8)&gt;$L$7,"",IFERROR(H67/E67,""))</f>
        <v/>
      </c>
    </row>
    <row r="68">
      <c r="A68" s="36">
        <f>IF(($K$7+9)&gt;$L$7,"",TEXT(($K$7+9),"DD.MM")&amp;" "&amp;CHOOSE(WEEKDAY(($K$7+9),2),"пн","вт","ср","чт","пт","сб","вс"))</f>
        <v/>
      </c>
      <c r="B68" s="37">
        <f>IF(($K$7+9)&gt;$L$7,"",SUMIFS('Данные'!$C:$C,'Данные'!$A:$A,"&gt;="&amp;($K$7+9),'Данные'!$A:$A,"&lt;"&amp;($K$7+9)+1,'Данные'!$B:$B,$B$3))</f>
        <v/>
      </c>
      <c r="C68" s="37">
        <f>IF(($K$7+9)&gt;$L$7,"",B68*(100+22)/100)</f>
        <v/>
      </c>
      <c r="D68" s="38">
        <f>IF(($K$7+9)&gt;$L$7,"",SUMIFS('Данные'!$D:$D,'Данные'!$A:$A,"&gt;="&amp;($K$7+9),'Данные'!$A:$A,"&lt;"&amp;($K$7+9)+1,'Данные'!$B:$B,$B$3))</f>
        <v/>
      </c>
      <c r="E68" s="38">
        <f>IF(($K$7+9)&gt;$L$7,"",SUMIFS('Данные'!$E:$E,'Данные'!$A:$A,"&gt;="&amp;($K$7+9),'Данные'!$A:$A,"&lt;"&amp;($K$7+9)+1,'Данные'!$B:$B,$B$3))</f>
        <v/>
      </c>
      <c r="F68" s="39">
        <f>IF(($K$7+9)&gt;$L$7,"",IFERROR(E68/D68,""))</f>
        <v/>
      </c>
      <c r="G68" s="40">
        <f>IF(($K$7+9)&gt;$L$7,"",IFERROR(B68/E68,""))</f>
        <v/>
      </c>
      <c r="H68" s="38">
        <f>IF(($K$7+9)&gt;$L$7,"",SUMIFS('Данные'!$F:$F,'Данные'!$A:$A,"&gt;="&amp;($K$7+9),'Данные'!$A:$A,"&lt;"&amp;($K$7+9)+1,'Данные'!$B:$B,$B$3))</f>
        <v/>
      </c>
      <c r="I68" s="40">
        <f>IF(($K$7+9)&gt;$L$7,"",IFERROR(B68/H68,""))</f>
        <v/>
      </c>
      <c r="J68" s="41">
        <f>IF(($K$7+9)&gt;$L$7,"",IFERROR(H68/E68,""))</f>
        <v/>
      </c>
    </row>
    <row r="69">
      <c r="A69" s="29">
        <f>IF(($K$7+10)&gt;$L$7,"",TEXT(($K$7+10),"DD.MM")&amp;" "&amp;CHOOSE(WEEKDAY(($K$7+10),2),"пн","вт","ср","чт","пт","сб","вс"))</f>
        <v/>
      </c>
      <c r="B69" s="30">
        <f>IF(($K$7+10)&gt;$L$7,"",SUMIFS('Данные'!$C:$C,'Данные'!$A:$A,"&gt;="&amp;($K$7+10),'Данные'!$A:$A,"&lt;"&amp;($K$7+10)+1,'Данные'!$B:$B,$B$3))</f>
        <v/>
      </c>
      <c r="C69" s="30">
        <f>IF(($K$7+10)&gt;$L$7,"",B69*(100+22)/100)</f>
        <v/>
      </c>
      <c r="D69" s="31">
        <f>IF(($K$7+10)&gt;$L$7,"",SUMIFS('Данные'!$D:$D,'Данные'!$A:$A,"&gt;="&amp;($K$7+10),'Данные'!$A:$A,"&lt;"&amp;($K$7+10)+1,'Данные'!$B:$B,$B$3))</f>
        <v/>
      </c>
      <c r="E69" s="31">
        <f>IF(($K$7+10)&gt;$L$7,"",SUMIFS('Данные'!$E:$E,'Данные'!$A:$A,"&gt;="&amp;($K$7+10),'Данные'!$A:$A,"&lt;"&amp;($K$7+10)+1,'Данные'!$B:$B,$B$3))</f>
        <v/>
      </c>
      <c r="F69" s="32">
        <f>IF(($K$7+10)&gt;$L$7,"",IFERROR(E69/D69,""))</f>
        <v/>
      </c>
      <c r="G69" s="33">
        <f>IF(($K$7+10)&gt;$L$7,"",IFERROR(B69/E69,""))</f>
        <v/>
      </c>
      <c r="H69" s="31">
        <f>IF(($K$7+10)&gt;$L$7,"",SUMIFS('Данные'!$F:$F,'Данные'!$A:$A,"&gt;="&amp;($K$7+10),'Данные'!$A:$A,"&lt;"&amp;($K$7+10)+1,'Данные'!$B:$B,$B$3))</f>
        <v/>
      </c>
      <c r="I69" s="33">
        <f>IF(($K$7+10)&gt;$L$7,"",IFERROR(B69/H69,""))</f>
        <v/>
      </c>
      <c r="J69" s="34">
        <f>IF(($K$7+10)&gt;$L$7,"",IFERROR(H69/E69,""))</f>
        <v/>
      </c>
    </row>
    <row r="70">
      <c r="A70" s="36">
        <f>IF(($K$7+11)&gt;$L$7,"",TEXT(($K$7+11),"DD.MM")&amp;" "&amp;CHOOSE(WEEKDAY(($K$7+11),2),"пн","вт","ср","чт","пт","сб","вс"))</f>
        <v/>
      </c>
      <c r="B70" s="37">
        <f>IF(($K$7+11)&gt;$L$7,"",SUMIFS('Данные'!$C:$C,'Данные'!$A:$A,"&gt;="&amp;($K$7+11),'Данные'!$A:$A,"&lt;"&amp;($K$7+11)+1,'Данные'!$B:$B,$B$3))</f>
        <v/>
      </c>
      <c r="C70" s="37">
        <f>IF(($K$7+11)&gt;$L$7,"",B70*(100+22)/100)</f>
        <v/>
      </c>
      <c r="D70" s="38">
        <f>IF(($K$7+11)&gt;$L$7,"",SUMIFS('Данные'!$D:$D,'Данные'!$A:$A,"&gt;="&amp;($K$7+11),'Данные'!$A:$A,"&lt;"&amp;($K$7+11)+1,'Данные'!$B:$B,$B$3))</f>
        <v/>
      </c>
      <c r="E70" s="38">
        <f>IF(($K$7+11)&gt;$L$7,"",SUMIFS('Данные'!$E:$E,'Данные'!$A:$A,"&gt;="&amp;($K$7+11),'Данные'!$A:$A,"&lt;"&amp;($K$7+11)+1,'Данные'!$B:$B,$B$3))</f>
        <v/>
      </c>
      <c r="F70" s="39">
        <f>IF(($K$7+11)&gt;$L$7,"",IFERROR(E70/D70,""))</f>
        <v/>
      </c>
      <c r="G70" s="40">
        <f>IF(($K$7+11)&gt;$L$7,"",IFERROR(B70/E70,""))</f>
        <v/>
      </c>
      <c r="H70" s="38">
        <f>IF(($K$7+11)&gt;$L$7,"",SUMIFS('Данные'!$F:$F,'Данные'!$A:$A,"&gt;="&amp;($K$7+11),'Данные'!$A:$A,"&lt;"&amp;($K$7+11)+1,'Данные'!$B:$B,$B$3))</f>
        <v/>
      </c>
      <c r="I70" s="40">
        <f>IF(($K$7+11)&gt;$L$7,"",IFERROR(B70/H70,""))</f>
        <v/>
      </c>
      <c r="J70" s="41">
        <f>IF(($K$7+11)&gt;$L$7,"",IFERROR(H70/E70,""))</f>
        <v/>
      </c>
    </row>
    <row r="71">
      <c r="A71" s="29">
        <f>IF(($K$7+12)&gt;$L$7,"",TEXT(($K$7+12),"DD.MM")&amp;" "&amp;CHOOSE(WEEKDAY(($K$7+12),2),"пн","вт","ср","чт","пт","сб","вс"))</f>
        <v/>
      </c>
      <c r="B71" s="30">
        <f>IF(($K$7+12)&gt;$L$7,"",SUMIFS('Данные'!$C:$C,'Данные'!$A:$A,"&gt;="&amp;($K$7+12),'Данные'!$A:$A,"&lt;"&amp;($K$7+12)+1,'Данные'!$B:$B,$B$3))</f>
        <v/>
      </c>
      <c r="C71" s="30">
        <f>IF(($K$7+12)&gt;$L$7,"",B71*(100+22)/100)</f>
        <v/>
      </c>
      <c r="D71" s="31">
        <f>IF(($K$7+12)&gt;$L$7,"",SUMIFS('Данные'!$D:$D,'Данные'!$A:$A,"&gt;="&amp;($K$7+12),'Данные'!$A:$A,"&lt;"&amp;($K$7+12)+1,'Данные'!$B:$B,$B$3))</f>
        <v/>
      </c>
      <c r="E71" s="31">
        <f>IF(($K$7+12)&gt;$L$7,"",SUMIFS('Данные'!$E:$E,'Данные'!$A:$A,"&gt;="&amp;($K$7+12),'Данные'!$A:$A,"&lt;"&amp;($K$7+12)+1,'Данные'!$B:$B,$B$3))</f>
        <v/>
      </c>
      <c r="F71" s="32">
        <f>IF(($K$7+12)&gt;$L$7,"",IFERROR(E71/D71,""))</f>
        <v/>
      </c>
      <c r="G71" s="33">
        <f>IF(($K$7+12)&gt;$L$7,"",IFERROR(B71/E71,""))</f>
        <v/>
      </c>
      <c r="H71" s="31">
        <f>IF(($K$7+12)&gt;$L$7,"",SUMIFS('Данные'!$F:$F,'Данные'!$A:$A,"&gt;="&amp;($K$7+12),'Данные'!$A:$A,"&lt;"&amp;($K$7+12)+1,'Данные'!$B:$B,$B$3))</f>
        <v/>
      </c>
      <c r="I71" s="33">
        <f>IF(($K$7+12)&gt;$L$7,"",IFERROR(B71/H71,""))</f>
        <v/>
      </c>
      <c r="J71" s="34">
        <f>IF(($K$7+12)&gt;$L$7,"",IFERROR(H71/E71,""))</f>
        <v/>
      </c>
    </row>
    <row r="72">
      <c r="A72" s="36">
        <f>IF(($K$7+13)&gt;$L$7,"",TEXT(($K$7+13),"DD.MM")&amp;" "&amp;CHOOSE(WEEKDAY(($K$7+13),2),"пн","вт","ср","чт","пт","сб","вс"))</f>
        <v/>
      </c>
      <c r="B72" s="37">
        <f>IF(($K$7+13)&gt;$L$7,"",SUMIFS('Данные'!$C:$C,'Данные'!$A:$A,"&gt;="&amp;($K$7+13),'Данные'!$A:$A,"&lt;"&amp;($K$7+13)+1,'Данные'!$B:$B,$B$3))</f>
        <v/>
      </c>
      <c r="C72" s="37">
        <f>IF(($K$7+13)&gt;$L$7,"",B72*(100+22)/100)</f>
        <v/>
      </c>
      <c r="D72" s="38">
        <f>IF(($K$7+13)&gt;$L$7,"",SUMIFS('Данные'!$D:$D,'Данные'!$A:$A,"&gt;="&amp;($K$7+13),'Данные'!$A:$A,"&lt;"&amp;($K$7+13)+1,'Данные'!$B:$B,$B$3))</f>
        <v/>
      </c>
      <c r="E72" s="38">
        <f>IF(($K$7+13)&gt;$L$7,"",SUMIFS('Данные'!$E:$E,'Данные'!$A:$A,"&gt;="&amp;($K$7+13),'Данные'!$A:$A,"&lt;"&amp;($K$7+13)+1,'Данные'!$B:$B,$B$3))</f>
        <v/>
      </c>
      <c r="F72" s="39">
        <f>IF(($K$7+13)&gt;$L$7,"",IFERROR(E72/D72,""))</f>
        <v/>
      </c>
      <c r="G72" s="40">
        <f>IF(($K$7+13)&gt;$L$7,"",IFERROR(B72/E72,""))</f>
        <v/>
      </c>
      <c r="H72" s="38">
        <f>IF(($K$7+13)&gt;$L$7,"",SUMIFS('Данные'!$F:$F,'Данные'!$A:$A,"&gt;="&amp;($K$7+13),'Данные'!$A:$A,"&lt;"&amp;($K$7+13)+1,'Данные'!$B:$B,$B$3))</f>
        <v/>
      </c>
      <c r="I72" s="40">
        <f>IF(($K$7+13)&gt;$L$7,"",IFERROR(B72/H72,""))</f>
        <v/>
      </c>
      <c r="J72" s="41">
        <f>IF(($K$7+13)&gt;$L$7,"",IFERROR(H72/E72,""))</f>
        <v/>
      </c>
    </row>
    <row r="73">
      <c r="A73" s="29">
        <f>IF(($K$7+14)&gt;$L$7,"",TEXT(($K$7+14),"DD.MM")&amp;" "&amp;CHOOSE(WEEKDAY(($K$7+14),2),"пн","вт","ср","чт","пт","сб","вс"))</f>
        <v/>
      </c>
      <c r="B73" s="30">
        <f>IF(($K$7+14)&gt;$L$7,"",SUMIFS('Данные'!$C:$C,'Данные'!$A:$A,"&gt;="&amp;($K$7+14),'Данные'!$A:$A,"&lt;"&amp;($K$7+14)+1,'Данные'!$B:$B,$B$3))</f>
        <v/>
      </c>
      <c r="C73" s="30">
        <f>IF(($K$7+14)&gt;$L$7,"",B73*(100+22)/100)</f>
        <v/>
      </c>
      <c r="D73" s="31">
        <f>IF(($K$7+14)&gt;$L$7,"",SUMIFS('Данные'!$D:$D,'Данные'!$A:$A,"&gt;="&amp;($K$7+14),'Данные'!$A:$A,"&lt;"&amp;($K$7+14)+1,'Данные'!$B:$B,$B$3))</f>
        <v/>
      </c>
      <c r="E73" s="31">
        <f>IF(($K$7+14)&gt;$L$7,"",SUMIFS('Данные'!$E:$E,'Данные'!$A:$A,"&gt;="&amp;($K$7+14),'Данные'!$A:$A,"&lt;"&amp;($K$7+14)+1,'Данные'!$B:$B,$B$3))</f>
        <v/>
      </c>
      <c r="F73" s="32">
        <f>IF(($K$7+14)&gt;$L$7,"",IFERROR(E73/D73,""))</f>
        <v/>
      </c>
      <c r="G73" s="33">
        <f>IF(($K$7+14)&gt;$L$7,"",IFERROR(B73/E73,""))</f>
        <v/>
      </c>
      <c r="H73" s="31">
        <f>IF(($K$7+14)&gt;$L$7,"",SUMIFS('Данные'!$F:$F,'Данные'!$A:$A,"&gt;="&amp;($K$7+14),'Данные'!$A:$A,"&lt;"&amp;($K$7+14)+1,'Данные'!$B:$B,$B$3))</f>
        <v/>
      </c>
      <c r="I73" s="33">
        <f>IF(($K$7+14)&gt;$L$7,"",IFERROR(B73/H73,""))</f>
        <v/>
      </c>
      <c r="J73" s="34">
        <f>IF(($K$7+14)&gt;$L$7,"",IFERROR(H73/E73,""))</f>
        <v/>
      </c>
    </row>
    <row r="74">
      <c r="A74" s="36">
        <f>IF(($K$7+15)&gt;$L$7,"",TEXT(($K$7+15),"DD.MM")&amp;" "&amp;CHOOSE(WEEKDAY(($K$7+15),2),"пн","вт","ср","чт","пт","сб","вс"))</f>
        <v/>
      </c>
      <c r="B74" s="37">
        <f>IF(($K$7+15)&gt;$L$7,"",SUMIFS('Данные'!$C:$C,'Данные'!$A:$A,"&gt;="&amp;($K$7+15),'Данные'!$A:$A,"&lt;"&amp;($K$7+15)+1,'Данные'!$B:$B,$B$3))</f>
        <v/>
      </c>
      <c r="C74" s="37">
        <f>IF(($K$7+15)&gt;$L$7,"",B74*(100+22)/100)</f>
        <v/>
      </c>
      <c r="D74" s="38">
        <f>IF(($K$7+15)&gt;$L$7,"",SUMIFS('Данные'!$D:$D,'Данные'!$A:$A,"&gt;="&amp;($K$7+15),'Данные'!$A:$A,"&lt;"&amp;($K$7+15)+1,'Данные'!$B:$B,$B$3))</f>
        <v/>
      </c>
      <c r="E74" s="38">
        <f>IF(($K$7+15)&gt;$L$7,"",SUMIFS('Данные'!$E:$E,'Данные'!$A:$A,"&gt;="&amp;($K$7+15),'Данные'!$A:$A,"&lt;"&amp;($K$7+15)+1,'Данные'!$B:$B,$B$3))</f>
        <v/>
      </c>
      <c r="F74" s="39">
        <f>IF(($K$7+15)&gt;$L$7,"",IFERROR(E74/D74,""))</f>
        <v/>
      </c>
      <c r="G74" s="40">
        <f>IF(($K$7+15)&gt;$L$7,"",IFERROR(B74/E74,""))</f>
        <v/>
      </c>
      <c r="H74" s="38">
        <f>IF(($K$7+15)&gt;$L$7,"",SUMIFS('Данные'!$F:$F,'Данные'!$A:$A,"&gt;="&amp;($K$7+15),'Данные'!$A:$A,"&lt;"&amp;($K$7+15)+1,'Данные'!$B:$B,$B$3))</f>
        <v/>
      </c>
      <c r="I74" s="40">
        <f>IF(($K$7+15)&gt;$L$7,"",IFERROR(B74/H74,""))</f>
        <v/>
      </c>
      <c r="J74" s="41">
        <f>IF(($K$7+15)&gt;$L$7,"",IFERROR(H74/E74,""))</f>
        <v/>
      </c>
    </row>
    <row r="75">
      <c r="A75" s="29">
        <f>IF(($K$7+16)&gt;$L$7,"",TEXT(($K$7+16),"DD.MM")&amp;" "&amp;CHOOSE(WEEKDAY(($K$7+16),2),"пн","вт","ср","чт","пт","сб","вс"))</f>
        <v/>
      </c>
      <c r="B75" s="30">
        <f>IF(($K$7+16)&gt;$L$7,"",SUMIFS('Данные'!$C:$C,'Данные'!$A:$A,"&gt;="&amp;($K$7+16),'Данные'!$A:$A,"&lt;"&amp;($K$7+16)+1,'Данные'!$B:$B,$B$3))</f>
        <v/>
      </c>
      <c r="C75" s="30">
        <f>IF(($K$7+16)&gt;$L$7,"",B75*(100+22)/100)</f>
        <v/>
      </c>
      <c r="D75" s="31">
        <f>IF(($K$7+16)&gt;$L$7,"",SUMIFS('Данные'!$D:$D,'Данные'!$A:$A,"&gt;="&amp;($K$7+16),'Данные'!$A:$A,"&lt;"&amp;($K$7+16)+1,'Данные'!$B:$B,$B$3))</f>
        <v/>
      </c>
      <c r="E75" s="31">
        <f>IF(($K$7+16)&gt;$L$7,"",SUMIFS('Данные'!$E:$E,'Данные'!$A:$A,"&gt;="&amp;($K$7+16),'Данные'!$A:$A,"&lt;"&amp;($K$7+16)+1,'Данные'!$B:$B,$B$3))</f>
        <v/>
      </c>
      <c r="F75" s="32">
        <f>IF(($K$7+16)&gt;$L$7,"",IFERROR(E75/D75,""))</f>
        <v/>
      </c>
      <c r="G75" s="33">
        <f>IF(($K$7+16)&gt;$L$7,"",IFERROR(B75/E75,""))</f>
        <v/>
      </c>
      <c r="H75" s="31">
        <f>IF(($K$7+16)&gt;$L$7,"",SUMIFS('Данные'!$F:$F,'Данные'!$A:$A,"&gt;="&amp;($K$7+16),'Данные'!$A:$A,"&lt;"&amp;($K$7+16)+1,'Данные'!$B:$B,$B$3))</f>
        <v/>
      </c>
      <c r="I75" s="33">
        <f>IF(($K$7+16)&gt;$L$7,"",IFERROR(B75/H75,""))</f>
        <v/>
      </c>
      <c r="J75" s="34">
        <f>IF(($K$7+16)&gt;$L$7,"",IFERROR(H75/E75,""))</f>
        <v/>
      </c>
    </row>
    <row r="76">
      <c r="A76" s="36">
        <f>IF(($K$7+17)&gt;$L$7,"",TEXT(($K$7+17),"DD.MM")&amp;" "&amp;CHOOSE(WEEKDAY(($K$7+17),2),"пн","вт","ср","чт","пт","сб","вс"))</f>
        <v/>
      </c>
      <c r="B76" s="37">
        <f>IF(($K$7+17)&gt;$L$7,"",SUMIFS('Данные'!$C:$C,'Данные'!$A:$A,"&gt;="&amp;($K$7+17),'Данные'!$A:$A,"&lt;"&amp;($K$7+17)+1,'Данные'!$B:$B,$B$3))</f>
        <v/>
      </c>
      <c r="C76" s="37">
        <f>IF(($K$7+17)&gt;$L$7,"",B76*(100+22)/100)</f>
        <v/>
      </c>
      <c r="D76" s="38">
        <f>IF(($K$7+17)&gt;$L$7,"",SUMIFS('Данные'!$D:$D,'Данные'!$A:$A,"&gt;="&amp;($K$7+17),'Данные'!$A:$A,"&lt;"&amp;($K$7+17)+1,'Данные'!$B:$B,$B$3))</f>
        <v/>
      </c>
      <c r="E76" s="38">
        <f>IF(($K$7+17)&gt;$L$7,"",SUMIFS('Данные'!$E:$E,'Данные'!$A:$A,"&gt;="&amp;($K$7+17),'Данные'!$A:$A,"&lt;"&amp;($K$7+17)+1,'Данные'!$B:$B,$B$3))</f>
        <v/>
      </c>
      <c r="F76" s="39">
        <f>IF(($K$7+17)&gt;$L$7,"",IFERROR(E76/D76,""))</f>
        <v/>
      </c>
      <c r="G76" s="40">
        <f>IF(($K$7+17)&gt;$L$7,"",IFERROR(B76/E76,""))</f>
        <v/>
      </c>
      <c r="H76" s="38">
        <f>IF(($K$7+17)&gt;$L$7,"",SUMIFS('Данные'!$F:$F,'Данные'!$A:$A,"&gt;="&amp;($K$7+17),'Данные'!$A:$A,"&lt;"&amp;($K$7+17)+1,'Данные'!$B:$B,$B$3))</f>
        <v/>
      </c>
      <c r="I76" s="40">
        <f>IF(($K$7+17)&gt;$L$7,"",IFERROR(B76/H76,""))</f>
        <v/>
      </c>
      <c r="J76" s="41">
        <f>IF(($K$7+17)&gt;$L$7,"",IFERROR(H76/E76,""))</f>
        <v/>
      </c>
    </row>
    <row r="77">
      <c r="A77" s="29">
        <f>IF(($K$7+18)&gt;$L$7,"",TEXT(($K$7+18),"DD.MM")&amp;" "&amp;CHOOSE(WEEKDAY(($K$7+18),2),"пн","вт","ср","чт","пт","сб","вс"))</f>
        <v/>
      </c>
      <c r="B77" s="30">
        <f>IF(($K$7+18)&gt;$L$7,"",SUMIFS('Данные'!$C:$C,'Данные'!$A:$A,"&gt;="&amp;($K$7+18),'Данные'!$A:$A,"&lt;"&amp;($K$7+18)+1,'Данные'!$B:$B,$B$3))</f>
        <v/>
      </c>
      <c r="C77" s="30">
        <f>IF(($K$7+18)&gt;$L$7,"",B77*(100+22)/100)</f>
        <v/>
      </c>
      <c r="D77" s="31">
        <f>IF(($K$7+18)&gt;$L$7,"",SUMIFS('Данные'!$D:$D,'Данные'!$A:$A,"&gt;="&amp;($K$7+18),'Данные'!$A:$A,"&lt;"&amp;($K$7+18)+1,'Данные'!$B:$B,$B$3))</f>
        <v/>
      </c>
      <c r="E77" s="31">
        <f>IF(($K$7+18)&gt;$L$7,"",SUMIFS('Данные'!$E:$E,'Данные'!$A:$A,"&gt;="&amp;($K$7+18),'Данные'!$A:$A,"&lt;"&amp;($K$7+18)+1,'Данные'!$B:$B,$B$3))</f>
        <v/>
      </c>
      <c r="F77" s="32">
        <f>IF(($K$7+18)&gt;$L$7,"",IFERROR(E77/D77,""))</f>
        <v/>
      </c>
      <c r="G77" s="33">
        <f>IF(($K$7+18)&gt;$L$7,"",IFERROR(B77/E77,""))</f>
        <v/>
      </c>
      <c r="H77" s="31">
        <f>IF(($K$7+18)&gt;$L$7,"",SUMIFS('Данные'!$F:$F,'Данные'!$A:$A,"&gt;="&amp;($K$7+18),'Данные'!$A:$A,"&lt;"&amp;($K$7+18)+1,'Данные'!$B:$B,$B$3))</f>
        <v/>
      </c>
      <c r="I77" s="33">
        <f>IF(($K$7+18)&gt;$L$7,"",IFERROR(B77/H77,""))</f>
        <v/>
      </c>
      <c r="J77" s="34">
        <f>IF(($K$7+18)&gt;$L$7,"",IFERROR(H77/E77,""))</f>
        <v/>
      </c>
    </row>
    <row r="78">
      <c r="A78" s="36">
        <f>IF(($K$7+19)&gt;$L$7,"",TEXT(($K$7+19),"DD.MM")&amp;" "&amp;CHOOSE(WEEKDAY(($K$7+19),2),"пн","вт","ср","чт","пт","сб","вс"))</f>
        <v/>
      </c>
      <c r="B78" s="37">
        <f>IF(($K$7+19)&gt;$L$7,"",SUMIFS('Данные'!$C:$C,'Данные'!$A:$A,"&gt;="&amp;($K$7+19),'Данные'!$A:$A,"&lt;"&amp;($K$7+19)+1,'Данные'!$B:$B,$B$3))</f>
        <v/>
      </c>
      <c r="C78" s="37">
        <f>IF(($K$7+19)&gt;$L$7,"",B78*(100+22)/100)</f>
        <v/>
      </c>
      <c r="D78" s="38">
        <f>IF(($K$7+19)&gt;$L$7,"",SUMIFS('Данные'!$D:$D,'Данные'!$A:$A,"&gt;="&amp;($K$7+19),'Данные'!$A:$A,"&lt;"&amp;($K$7+19)+1,'Данные'!$B:$B,$B$3))</f>
        <v/>
      </c>
      <c r="E78" s="38">
        <f>IF(($K$7+19)&gt;$L$7,"",SUMIFS('Данные'!$E:$E,'Данные'!$A:$A,"&gt;="&amp;($K$7+19),'Данные'!$A:$A,"&lt;"&amp;($K$7+19)+1,'Данные'!$B:$B,$B$3))</f>
        <v/>
      </c>
      <c r="F78" s="39">
        <f>IF(($K$7+19)&gt;$L$7,"",IFERROR(E78/D78,""))</f>
        <v/>
      </c>
      <c r="G78" s="40">
        <f>IF(($K$7+19)&gt;$L$7,"",IFERROR(B78/E78,""))</f>
        <v/>
      </c>
      <c r="H78" s="38">
        <f>IF(($K$7+19)&gt;$L$7,"",SUMIFS('Данные'!$F:$F,'Данные'!$A:$A,"&gt;="&amp;($K$7+19),'Данные'!$A:$A,"&lt;"&amp;($K$7+19)+1,'Данные'!$B:$B,$B$3))</f>
        <v/>
      </c>
      <c r="I78" s="40">
        <f>IF(($K$7+19)&gt;$L$7,"",IFERROR(B78/H78,""))</f>
        <v/>
      </c>
      <c r="J78" s="41">
        <f>IF(($K$7+19)&gt;$L$7,"",IFERROR(H78/E78,""))</f>
        <v/>
      </c>
    </row>
    <row r="79">
      <c r="A79" s="29">
        <f>IF(($K$7+20)&gt;$L$7,"",TEXT(($K$7+20),"DD.MM")&amp;" "&amp;CHOOSE(WEEKDAY(($K$7+20),2),"пн","вт","ср","чт","пт","сб","вс"))</f>
        <v/>
      </c>
      <c r="B79" s="30">
        <f>IF(($K$7+20)&gt;$L$7,"",SUMIFS('Данные'!$C:$C,'Данные'!$A:$A,"&gt;="&amp;($K$7+20),'Данные'!$A:$A,"&lt;"&amp;($K$7+20)+1,'Данные'!$B:$B,$B$3))</f>
        <v/>
      </c>
      <c r="C79" s="30">
        <f>IF(($K$7+20)&gt;$L$7,"",B79*(100+22)/100)</f>
        <v/>
      </c>
      <c r="D79" s="31">
        <f>IF(($K$7+20)&gt;$L$7,"",SUMIFS('Данные'!$D:$D,'Данные'!$A:$A,"&gt;="&amp;($K$7+20),'Данные'!$A:$A,"&lt;"&amp;($K$7+20)+1,'Данные'!$B:$B,$B$3))</f>
        <v/>
      </c>
      <c r="E79" s="31">
        <f>IF(($K$7+20)&gt;$L$7,"",SUMIFS('Данные'!$E:$E,'Данные'!$A:$A,"&gt;="&amp;($K$7+20),'Данные'!$A:$A,"&lt;"&amp;($K$7+20)+1,'Данные'!$B:$B,$B$3))</f>
        <v/>
      </c>
      <c r="F79" s="32">
        <f>IF(($K$7+20)&gt;$L$7,"",IFERROR(E79/D79,""))</f>
        <v/>
      </c>
      <c r="G79" s="33">
        <f>IF(($K$7+20)&gt;$L$7,"",IFERROR(B79/E79,""))</f>
        <v/>
      </c>
      <c r="H79" s="31">
        <f>IF(($K$7+20)&gt;$L$7,"",SUMIFS('Данные'!$F:$F,'Данные'!$A:$A,"&gt;="&amp;($K$7+20),'Данные'!$A:$A,"&lt;"&amp;($K$7+20)+1,'Данные'!$B:$B,$B$3))</f>
        <v/>
      </c>
      <c r="I79" s="33">
        <f>IF(($K$7+20)&gt;$L$7,"",IFERROR(B79/H79,""))</f>
        <v/>
      </c>
      <c r="J79" s="34">
        <f>IF(($K$7+20)&gt;$L$7,"",IFERROR(H79/E79,""))</f>
        <v/>
      </c>
    </row>
    <row r="80">
      <c r="A80" s="36">
        <f>IF(($K$7+21)&gt;$L$7,"",TEXT(($K$7+21),"DD.MM")&amp;" "&amp;CHOOSE(WEEKDAY(($K$7+21),2),"пн","вт","ср","чт","пт","сб","вс"))</f>
        <v/>
      </c>
      <c r="B80" s="37">
        <f>IF(($K$7+21)&gt;$L$7,"",SUMIFS('Данные'!$C:$C,'Данные'!$A:$A,"&gt;="&amp;($K$7+21),'Данные'!$A:$A,"&lt;"&amp;($K$7+21)+1,'Данные'!$B:$B,$B$3))</f>
        <v/>
      </c>
      <c r="C80" s="37">
        <f>IF(($K$7+21)&gt;$L$7,"",B80*(100+22)/100)</f>
        <v/>
      </c>
      <c r="D80" s="38">
        <f>IF(($K$7+21)&gt;$L$7,"",SUMIFS('Данные'!$D:$D,'Данные'!$A:$A,"&gt;="&amp;($K$7+21),'Данные'!$A:$A,"&lt;"&amp;($K$7+21)+1,'Данные'!$B:$B,$B$3))</f>
        <v/>
      </c>
      <c r="E80" s="38">
        <f>IF(($K$7+21)&gt;$L$7,"",SUMIFS('Данные'!$E:$E,'Данные'!$A:$A,"&gt;="&amp;($K$7+21),'Данные'!$A:$A,"&lt;"&amp;($K$7+21)+1,'Данные'!$B:$B,$B$3))</f>
        <v/>
      </c>
      <c r="F80" s="39">
        <f>IF(($K$7+21)&gt;$L$7,"",IFERROR(E80/D80,""))</f>
        <v/>
      </c>
      <c r="G80" s="40">
        <f>IF(($K$7+21)&gt;$L$7,"",IFERROR(B80/E80,""))</f>
        <v/>
      </c>
      <c r="H80" s="38">
        <f>IF(($K$7+21)&gt;$L$7,"",SUMIFS('Данные'!$F:$F,'Данные'!$A:$A,"&gt;="&amp;($K$7+21),'Данные'!$A:$A,"&lt;"&amp;($K$7+21)+1,'Данные'!$B:$B,$B$3))</f>
        <v/>
      </c>
      <c r="I80" s="40">
        <f>IF(($K$7+21)&gt;$L$7,"",IFERROR(B80/H80,""))</f>
        <v/>
      </c>
      <c r="J80" s="41">
        <f>IF(($K$7+21)&gt;$L$7,"",IFERROR(H80/E80,""))</f>
        <v/>
      </c>
    </row>
    <row r="81">
      <c r="A81" s="29">
        <f>IF(($K$7+22)&gt;$L$7,"",TEXT(($K$7+22),"DD.MM")&amp;" "&amp;CHOOSE(WEEKDAY(($K$7+22),2),"пн","вт","ср","чт","пт","сб","вс"))</f>
        <v/>
      </c>
      <c r="B81" s="30">
        <f>IF(($K$7+22)&gt;$L$7,"",SUMIFS('Данные'!$C:$C,'Данные'!$A:$A,"&gt;="&amp;($K$7+22),'Данные'!$A:$A,"&lt;"&amp;($K$7+22)+1,'Данные'!$B:$B,$B$3))</f>
        <v/>
      </c>
      <c r="C81" s="30">
        <f>IF(($K$7+22)&gt;$L$7,"",B81*(100+22)/100)</f>
        <v/>
      </c>
      <c r="D81" s="31">
        <f>IF(($K$7+22)&gt;$L$7,"",SUMIFS('Данные'!$D:$D,'Данные'!$A:$A,"&gt;="&amp;($K$7+22),'Данные'!$A:$A,"&lt;"&amp;($K$7+22)+1,'Данные'!$B:$B,$B$3))</f>
        <v/>
      </c>
      <c r="E81" s="31">
        <f>IF(($K$7+22)&gt;$L$7,"",SUMIFS('Данные'!$E:$E,'Данные'!$A:$A,"&gt;="&amp;($K$7+22),'Данные'!$A:$A,"&lt;"&amp;($K$7+22)+1,'Данные'!$B:$B,$B$3))</f>
        <v/>
      </c>
      <c r="F81" s="32">
        <f>IF(($K$7+22)&gt;$L$7,"",IFERROR(E81/D81,""))</f>
        <v/>
      </c>
      <c r="G81" s="33">
        <f>IF(($K$7+22)&gt;$L$7,"",IFERROR(B81/E81,""))</f>
        <v/>
      </c>
      <c r="H81" s="31">
        <f>IF(($K$7+22)&gt;$L$7,"",SUMIFS('Данные'!$F:$F,'Данные'!$A:$A,"&gt;="&amp;($K$7+22),'Данные'!$A:$A,"&lt;"&amp;($K$7+22)+1,'Данные'!$B:$B,$B$3))</f>
        <v/>
      </c>
      <c r="I81" s="33">
        <f>IF(($K$7+22)&gt;$L$7,"",IFERROR(B81/H81,""))</f>
        <v/>
      </c>
      <c r="J81" s="34">
        <f>IF(($K$7+22)&gt;$L$7,"",IFERROR(H81/E81,""))</f>
        <v/>
      </c>
    </row>
    <row r="82">
      <c r="A82" s="36">
        <f>IF(($K$7+23)&gt;$L$7,"",TEXT(($K$7+23),"DD.MM")&amp;" "&amp;CHOOSE(WEEKDAY(($K$7+23),2),"пн","вт","ср","чт","пт","сб","вс"))</f>
        <v/>
      </c>
      <c r="B82" s="37">
        <f>IF(($K$7+23)&gt;$L$7,"",SUMIFS('Данные'!$C:$C,'Данные'!$A:$A,"&gt;="&amp;($K$7+23),'Данные'!$A:$A,"&lt;"&amp;($K$7+23)+1,'Данные'!$B:$B,$B$3))</f>
        <v/>
      </c>
      <c r="C82" s="37">
        <f>IF(($K$7+23)&gt;$L$7,"",B82*(100+22)/100)</f>
        <v/>
      </c>
      <c r="D82" s="38">
        <f>IF(($K$7+23)&gt;$L$7,"",SUMIFS('Данные'!$D:$D,'Данные'!$A:$A,"&gt;="&amp;($K$7+23),'Данные'!$A:$A,"&lt;"&amp;($K$7+23)+1,'Данные'!$B:$B,$B$3))</f>
        <v/>
      </c>
      <c r="E82" s="38">
        <f>IF(($K$7+23)&gt;$L$7,"",SUMIFS('Данные'!$E:$E,'Данные'!$A:$A,"&gt;="&amp;($K$7+23),'Данные'!$A:$A,"&lt;"&amp;($K$7+23)+1,'Данные'!$B:$B,$B$3))</f>
        <v/>
      </c>
      <c r="F82" s="39">
        <f>IF(($K$7+23)&gt;$L$7,"",IFERROR(E82/D82,""))</f>
        <v/>
      </c>
      <c r="G82" s="40">
        <f>IF(($K$7+23)&gt;$L$7,"",IFERROR(B82/E82,""))</f>
        <v/>
      </c>
      <c r="H82" s="38">
        <f>IF(($K$7+23)&gt;$L$7,"",SUMIFS('Данные'!$F:$F,'Данные'!$A:$A,"&gt;="&amp;($K$7+23),'Данные'!$A:$A,"&lt;"&amp;($K$7+23)+1,'Данные'!$B:$B,$B$3))</f>
        <v/>
      </c>
      <c r="I82" s="40">
        <f>IF(($K$7+23)&gt;$L$7,"",IFERROR(B82/H82,""))</f>
        <v/>
      </c>
      <c r="J82" s="41">
        <f>IF(($K$7+23)&gt;$L$7,"",IFERROR(H82/E82,""))</f>
        <v/>
      </c>
    </row>
    <row r="83">
      <c r="A83" s="29">
        <f>IF(($K$7+24)&gt;$L$7,"",TEXT(($K$7+24),"DD.MM")&amp;" "&amp;CHOOSE(WEEKDAY(($K$7+24),2),"пн","вт","ср","чт","пт","сб","вс"))</f>
        <v/>
      </c>
      <c r="B83" s="30">
        <f>IF(($K$7+24)&gt;$L$7,"",SUMIFS('Данные'!$C:$C,'Данные'!$A:$A,"&gt;="&amp;($K$7+24),'Данные'!$A:$A,"&lt;"&amp;($K$7+24)+1,'Данные'!$B:$B,$B$3))</f>
        <v/>
      </c>
      <c r="C83" s="30">
        <f>IF(($K$7+24)&gt;$L$7,"",B83*(100+22)/100)</f>
        <v/>
      </c>
      <c r="D83" s="31">
        <f>IF(($K$7+24)&gt;$L$7,"",SUMIFS('Данные'!$D:$D,'Данные'!$A:$A,"&gt;="&amp;($K$7+24),'Данные'!$A:$A,"&lt;"&amp;($K$7+24)+1,'Данные'!$B:$B,$B$3))</f>
        <v/>
      </c>
      <c r="E83" s="31">
        <f>IF(($K$7+24)&gt;$L$7,"",SUMIFS('Данные'!$E:$E,'Данные'!$A:$A,"&gt;="&amp;($K$7+24),'Данные'!$A:$A,"&lt;"&amp;($K$7+24)+1,'Данные'!$B:$B,$B$3))</f>
        <v/>
      </c>
      <c r="F83" s="32">
        <f>IF(($K$7+24)&gt;$L$7,"",IFERROR(E83/D83,""))</f>
        <v/>
      </c>
      <c r="G83" s="33">
        <f>IF(($K$7+24)&gt;$L$7,"",IFERROR(B83/E83,""))</f>
        <v/>
      </c>
      <c r="H83" s="31">
        <f>IF(($K$7+24)&gt;$L$7,"",SUMIFS('Данные'!$F:$F,'Данные'!$A:$A,"&gt;="&amp;($K$7+24),'Данные'!$A:$A,"&lt;"&amp;($K$7+24)+1,'Данные'!$B:$B,$B$3))</f>
        <v/>
      </c>
      <c r="I83" s="33">
        <f>IF(($K$7+24)&gt;$L$7,"",IFERROR(B83/H83,""))</f>
        <v/>
      </c>
      <c r="J83" s="34">
        <f>IF(($K$7+24)&gt;$L$7,"",IFERROR(H83/E83,""))</f>
        <v/>
      </c>
    </row>
    <row r="84">
      <c r="A84" s="36">
        <f>IF(($K$7+25)&gt;$L$7,"",TEXT(($K$7+25),"DD.MM")&amp;" "&amp;CHOOSE(WEEKDAY(($K$7+25),2),"пн","вт","ср","чт","пт","сб","вс"))</f>
        <v/>
      </c>
      <c r="B84" s="37">
        <f>IF(($K$7+25)&gt;$L$7,"",SUMIFS('Данные'!$C:$C,'Данные'!$A:$A,"&gt;="&amp;($K$7+25),'Данные'!$A:$A,"&lt;"&amp;($K$7+25)+1,'Данные'!$B:$B,$B$3))</f>
        <v/>
      </c>
      <c r="C84" s="37">
        <f>IF(($K$7+25)&gt;$L$7,"",B84*(100+22)/100)</f>
        <v/>
      </c>
      <c r="D84" s="38">
        <f>IF(($K$7+25)&gt;$L$7,"",SUMIFS('Данные'!$D:$D,'Данные'!$A:$A,"&gt;="&amp;($K$7+25),'Данные'!$A:$A,"&lt;"&amp;($K$7+25)+1,'Данные'!$B:$B,$B$3))</f>
        <v/>
      </c>
      <c r="E84" s="38">
        <f>IF(($K$7+25)&gt;$L$7,"",SUMIFS('Данные'!$E:$E,'Данные'!$A:$A,"&gt;="&amp;($K$7+25),'Данные'!$A:$A,"&lt;"&amp;($K$7+25)+1,'Данные'!$B:$B,$B$3))</f>
        <v/>
      </c>
      <c r="F84" s="39">
        <f>IF(($K$7+25)&gt;$L$7,"",IFERROR(E84/D84,""))</f>
        <v/>
      </c>
      <c r="G84" s="40">
        <f>IF(($K$7+25)&gt;$L$7,"",IFERROR(B84/E84,""))</f>
        <v/>
      </c>
      <c r="H84" s="38">
        <f>IF(($K$7+25)&gt;$L$7,"",SUMIFS('Данные'!$F:$F,'Данные'!$A:$A,"&gt;="&amp;($K$7+25),'Данные'!$A:$A,"&lt;"&amp;($K$7+25)+1,'Данные'!$B:$B,$B$3))</f>
        <v/>
      </c>
      <c r="I84" s="40">
        <f>IF(($K$7+25)&gt;$L$7,"",IFERROR(B84/H84,""))</f>
        <v/>
      </c>
      <c r="J84" s="41">
        <f>IF(($K$7+25)&gt;$L$7,"",IFERROR(H84/E84,""))</f>
        <v/>
      </c>
    </row>
    <row r="85">
      <c r="A85" s="29">
        <f>IF(($K$7+26)&gt;$L$7,"",TEXT(($K$7+26),"DD.MM")&amp;" "&amp;CHOOSE(WEEKDAY(($K$7+26),2),"пн","вт","ср","чт","пт","сб","вс"))</f>
        <v/>
      </c>
      <c r="B85" s="30">
        <f>IF(($K$7+26)&gt;$L$7,"",SUMIFS('Данные'!$C:$C,'Данные'!$A:$A,"&gt;="&amp;($K$7+26),'Данные'!$A:$A,"&lt;"&amp;($K$7+26)+1,'Данные'!$B:$B,$B$3))</f>
        <v/>
      </c>
      <c r="C85" s="30">
        <f>IF(($K$7+26)&gt;$L$7,"",B85*(100+22)/100)</f>
        <v/>
      </c>
      <c r="D85" s="31">
        <f>IF(($K$7+26)&gt;$L$7,"",SUMIFS('Данные'!$D:$D,'Данные'!$A:$A,"&gt;="&amp;($K$7+26),'Данные'!$A:$A,"&lt;"&amp;($K$7+26)+1,'Данные'!$B:$B,$B$3))</f>
        <v/>
      </c>
      <c r="E85" s="31">
        <f>IF(($K$7+26)&gt;$L$7,"",SUMIFS('Данные'!$E:$E,'Данные'!$A:$A,"&gt;="&amp;($K$7+26),'Данные'!$A:$A,"&lt;"&amp;($K$7+26)+1,'Данные'!$B:$B,$B$3))</f>
        <v/>
      </c>
      <c r="F85" s="32">
        <f>IF(($K$7+26)&gt;$L$7,"",IFERROR(E85/D85,""))</f>
        <v/>
      </c>
      <c r="G85" s="33">
        <f>IF(($K$7+26)&gt;$L$7,"",IFERROR(B85/E85,""))</f>
        <v/>
      </c>
      <c r="H85" s="31">
        <f>IF(($K$7+26)&gt;$L$7,"",SUMIFS('Данные'!$F:$F,'Данные'!$A:$A,"&gt;="&amp;($K$7+26),'Данные'!$A:$A,"&lt;"&amp;($K$7+26)+1,'Данные'!$B:$B,$B$3))</f>
        <v/>
      </c>
      <c r="I85" s="33">
        <f>IF(($K$7+26)&gt;$L$7,"",IFERROR(B85/H85,""))</f>
        <v/>
      </c>
      <c r="J85" s="34">
        <f>IF(($K$7+26)&gt;$L$7,"",IFERROR(H85/E85,""))</f>
        <v/>
      </c>
    </row>
    <row r="86">
      <c r="A86" s="36">
        <f>IF(($K$7+27)&gt;$L$7,"",TEXT(($K$7+27),"DD.MM")&amp;" "&amp;CHOOSE(WEEKDAY(($K$7+27),2),"пн","вт","ср","чт","пт","сб","вс"))</f>
        <v/>
      </c>
      <c r="B86" s="37">
        <f>IF(($K$7+27)&gt;$L$7,"",SUMIFS('Данные'!$C:$C,'Данные'!$A:$A,"&gt;="&amp;($K$7+27),'Данные'!$A:$A,"&lt;"&amp;($K$7+27)+1,'Данные'!$B:$B,$B$3))</f>
        <v/>
      </c>
      <c r="C86" s="37">
        <f>IF(($K$7+27)&gt;$L$7,"",B86*(100+22)/100)</f>
        <v/>
      </c>
      <c r="D86" s="38">
        <f>IF(($K$7+27)&gt;$L$7,"",SUMIFS('Данные'!$D:$D,'Данные'!$A:$A,"&gt;="&amp;($K$7+27),'Данные'!$A:$A,"&lt;"&amp;($K$7+27)+1,'Данные'!$B:$B,$B$3))</f>
        <v/>
      </c>
      <c r="E86" s="38">
        <f>IF(($K$7+27)&gt;$L$7,"",SUMIFS('Данные'!$E:$E,'Данные'!$A:$A,"&gt;="&amp;($K$7+27),'Данные'!$A:$A,"&lt;"&amp;($K$7+27)+1,'Данные'!$B:$B,$B$3))</f>
        <v/>
      </c>
      <c r="F86" s="39">
        <f>IF(($K$7+27)&gt;$L$7,"",IFERROR(E86/D86,""))</f>
        <v/>
      </c>
      <c r="G86" s="40">
        <f>IF(($K$7+27)&gt;$L$7,"",IFERROR(B86/E86,""))</f>
        <v/>
      </c>
      <c r="H86" s="38">
        <f>IF(($K$7+27)&gt;$L$7,"",SUMIFS('Данные'!$F:$F,'Данные'!$A:$A,"&gt;="&amp;($K$7+27),'Данные'!$A:$A,"&lt;"&amp;($K$7+27)+1,'Данные'!$B:$B,$B$3))</f>
        <v/>
      </c>
      <c r="I86" s="40">
        <f>IF(($K$7+27)&gt;$L$7,"",IFERROR(B86/H86,""))</f>
        <v/>
      </c>
      <c r="J86" s="41">
        <f>IF(($K$7+27)&gt;$L$7,"",IFERROR(H86/E86,""))</f>
        <v/>
      </c>
    </row>
    <row r="87">
      <c r="A87" s="29">
        <f>IF(($K$7+28)&gt;$L$7,"",TEXT(($K$7+28),"DD.MM")&amp;" "&amp;CHOOSE(WEEKDAY(($K$7+28),2),"пн","вт","ср","чт","пт","сб","вс"))</f>
        <v/>
      </c>
      <c r="B87" s="30">
        <f>IF(($K$7+28)&gt;$L$7,"",SUMIFS('Данные'!$C:$C,'Данные'!$A:$A,"&gt;="&amp;($K$7+28),'Данные'!$A:$A,"&lt;"&amp;($K$7+28)+1,'Данные'!$B:$B,$B$3))</f>
        <v/>
      </c>
      <c r="C87" s="30">
        <f>IF(($K$7+28)&gt;$L$7,"",B87*(100+22)/100)</f>
        <v/>
      </c>
      <c r="D87" s="31">
        <f>IF(($K$7+28)&gt;$L$7,"",SUMIFS('Данные'!$D:$D,'Данные'!$A:$A,"&gt;="&amp;($K$7+28),'Данные'!$A:$A,"&lt;"&amp;($K$7+28)+1,'Данные'!$B:$B,$B$3))</f>
        <v/>
      </c>
      <c r="E87" s="31">
        <f>IF(($K$7+28)&gt;$L$7,"",SUMIFS('Данные'!$E:$E,'Данные'!$A:$A,"&gt;="&amp;($K$7+28),'Данные'!$A:$A,"&lt;"&amp;($K$7+28)+1,'Данные'!$B:$B,$B$3))</f>
        <v/>
      </c>
      <c r="F87" s="32">
        <f>IF(($K$7+28)&gt;$L$7,"",IFERROR(E87/D87,""))</f>
        <v/>
      </c>
      <c r="G87" s="33">
        <f>IF(($K$7+28)&gt;$L$7,"",IFERROR(B87/E87,""))</f>
        <v/>
      </c>
      <c r="H87" s="31">
        <f>IF(($K$7+28)&gt;$L$7,"",SUMIFS('Данные'!$F:$F,'Данные'!$A:$A,"&gt;="&amp;($K$7+28),'Данные'!$A:$A,"&lt;"&amp;($K$7+28)+1,'Данные'!$B:$B,$B$3))</f>
        <v/>
      </c>
      <c r="I87" s="33">
        <f>IF(($K$7+28)&gt;$L$7,"",IFERROR(B87/H87,""))</f>
        <v/>
      </c>
      <c r="J87" s="34">
        <f>IF(($K$7+28)&gt;$L$7,"",IFERROR(H87/E87,""))</f>
        <v/>
      </c>
    </row>
    <row r="88">
      <c r="A88" s="36">
        <f>IF(($K$7+29)&gt;$L$7,"",TEXT(($K$7+29),"DD.MM")&amp;" "&amp;CHOOSE(WEEKDAY(($K$7+29),2),"пн","вт","ср","чт","пт","сб","вс"))</f>
        <v/>
      </c>
      <c r="B88" s="37">
        <f>IF(($K$7+29)&gt;$L$7,"",SUMIFS('Данные'!$C:$C,'Данные'!$A:$A,"&gt;="&amp;($K$7+29),'Данные'!$A:$A,"&lt;"&amp;($K$7+29)+1,'Данные'!$B:$B,$B$3))</f>
        <v/>
      </c>
      <c r="C88" s="37">
        <f>IF(($K$7+29)&gt;$L$7,"",B88*(100+22)/100)</f>
        <v/>
      </c>
      <c r="D88" s="38">
        <f>IF(($K$7+29)&gt;$L$7,"",SUMIFS('Данные'!$D:$D,'Данные'!$A:$A,"&gt;="&amp;($K$7+29),'Данные'!$A:$A,"&lt;"&amp;($K$7+29)+1,'Данные'!$B:$B,$B$3))</f>
        <v/>
      </c>
      <c r="E88" s="38">
        <f>IF(($K$7+29)&gt;$L$7,"",SUMIFS('Данные'!$E:$E,'Данные'!$A:$A,"&gt;="&amp;($K$7+29),'Данные'!$A:$A,"&lt;"&amp;($K$7+29)+1,'Данные'!$B:$B,$B$3))</f>
        <v/>
      </c>
      <c r="F88" s="39">
        <f>IF(($K$7+29)&gt;$L$7,"",IFERROR(E88/D88,""))</f>
        <v/>
      </c>
      <c r="G88" s="40">
        <f>IF(($K$7+29)&gt;$L$7,"",IFERROR(B88/E88,""))</f>
        <v/>
      </c>
      <c r="H88" s="38">
        <f>IF(($K$7+29)&gt;$L$7,"",SUMIFS('Данные'!$F:$F,'Данные'!$A:$A,"&gt;="&amp;($K$7+29),'Данные'!$A:$A,"&lt;"&amp;($K$7+29)+1,'Данные'!$B:$B,$B$3))</f>
        <v/>
      </c>
      <c r="I88" s="40">
        <f>IF(($K$7+29)&gt;$L$7,"",IFERROR(B88/H88,""))</f>
        <v/>
      </c>
      <c r="J88" s="41">
        <f>IF(($K$7+29)&gt;$L$7,"",IFERROR(H88/E88,""))</f>
        <v/>
      </c>
    </row>
    <row r="89">
      <c r="A89" s="29">
        <f>IF(($K$7+30)&gt;$L$7,"",TEXT(($K$7+30),"DD.MM")&amp;" "&amp;CHOOSE(WEEKDAY(($K$7+30),2),"пн","вт","ср","чт","пт","сб","вс"))</f>
        <v/>
      </c>
      <c r="B89" s="30">
        <f>IF(($K$7+30)&gt;$L$7,"",SUMIFS('Данные'!$C:$C,'Данные'!$A:$A,"&gt;="&amp;($K$7+30),'Данные'!$A:$A,"&lt;"&amp;($K$7+30)+1,'Данные'!$B:$B,$B$3))</f>
        <v/>
      </c>
      <c r="C89" s="30">
        <f>IF(($K$7+30)&gt;$L$7,"",B89*(100+22)/100)</f>
        <v/>
      </c>
      <c r="D89" s="31">
        <f>IF(($K$7+30)&gt;$L$7,"",SUMIFS('Данные'!$D:$D,'Данные'!$A:$A,"&gt;="&amp;($K$7+30),'Данные'!$A:$A,"&lt;"&amp;($K$7+30)+1,'Данные'!$B:$B,$B$3))</f>
        <v/>
      </c>
      <c r="E89" s="31">
        <f>IF(($K$7+30)&gt;$L$7,"",SUMIFS('Данные'!$E:$E,'Данные'!$A:$A,"&gt;="&amp;($K$7+30),'Данные'!$A:$A,"&lt;"&amp;($K$7+30)+1,'Данные'!$B:$B,$B$3))</f>
        <v/>
      </c>
      <c r="F89" s="32">
        <f>IF(($K$7+30)&gt;$L$7,"",IFERROR(E89/D89,""))</f>
        <v/>
      </c>
      <c r="G89" s="33">
        <f>IF(($K$7+30)&gt;$L$7,"",IFERROR(B89/E89,""))</f>
        <v/>
      </c>
      <c r="H89" s="31">
        <f>IF(($K$7+30)&gt;$L$7,"",SUMIFS('Данные'!$F:$F,'Данные'!$A:$A,"&gt;="&amp;($K$7+30),'Данные'!$A:$A,"&lt;"&amp;($K$7+30)+1,'Данные'!$B:$B,$B$3))</f>
        <v/>
      </c>
      <c r="I89" s="33">
        <f>IF(($K$7+30)&gt;$L$7,"",IFERROR(B89/H89,""))</f>
        <v/>
      </c>
      <c r="J89" s="34">
        <f>IF(($K$7+30)&gt;$L$7,"",IFERROR(H89/E89,""))</f>
        <v/>
      </c>
    </row>
    <row r="90">
      <c r="A90" s="36">
        <f>IF(($K$7+31)&gt;$L$7,"",TEXT(($K$7+31),"DD.MM")&amp;" "&amp;CHOOSE(WEEKDAY(($K$7+31),2),"пн","вт","ср","чт","пт","сб","вс"))</f>
        <v/>
      </c>
      <c r="B90" s="37">
        <f>IF(($K$7+31)&gt;$L$7,"",SUMIFS('Данные'!$C:$C,'Данные'!$A:$A,"&gt;="&amp;($K$7+31),'Данные'!$A:$A,"&lt;"&amp;($K$7+31)+1,'Данные'!$B:$B,$B$3))</f>
        <v/>
      </c>
      <c r="C90" s="37">
        <f>IF(($K$7+31)&gt;$L$7,"",B90*(100+22)/100)</f>
        <v/>
      </c>
      <c r="D90" s="38">
        <f>IF(($K$7+31)&gt;$L$7,"",SUMIFS('Данные'!$D:$D,'Данные'!$A:$A,"&gt;="&amp;($K$7+31),'Данные'!$A:$A,"&lt;"&amp;($K$7+31)+1,'Данные'!$B:$B,$B$3))</f>
        <v/>
      </c>
      <c r="E90" s="38">
        <f>IF(($K$7+31)&gt;$L$7,"",SUMIFS('Данные'!$E:$E,'Данные'!$A:$A,"&gt;="&amp;($K$7+31),'Данные'!$A:$A,"&lt;"&amp;($K$7+31)+1,'Данные'!$B:$B,$B$3))</f>
        <v/>
      </c>
      <c r="F90" s="39">
        <f>IF(($K$7+31)&gt;$L$7,"",IFERROR(E90/D90,""))</f>
        <v/>
      </c>
      <c r="G90" s="40">
        <f>IF(($K$7+31)&gt;$L$7,"",IFERROR(B90/E90,""))</f>
        <v/>
      </c>
      <c r="H90" s="38">
        <f>IF(($K$7+31)&gt;$L$7,"",SUMIFS('Данные'!$F:$F,'Данные'!$A:$A,"&gt;="&amp;($K$7+31),'Данные'!$A:$A,"&lt;"&amp;($K$7+31)+1,'Данные'!$B:$B,$B$3))</f>
        <v/>
      </c>
      <c r="I90" s="40">
        <f>IF(($K$7+31)&gt;$L$7,"",IFERROR(B90/H90,""))</f>
        <v/>
      </c>
      <c r="J90" s="41">
        <f>IF(($K$7+31)&gt;$L$7,"",IFERROR(H90/E90,""))</f>
        <v/>
      </c>
    </row>
    <row r="91">
      <c r="A91" s="29">
        <f>IF(($K$7+32)&gt;$L$7,"",TEXT(($K$7+32),"DD.MM")&amp;" "&amp;CHOOSE(WEEKDAY(($K$7+32),2),"пн","вт","ср","чт","пт","сб","вс"))</f>
        <v/>
      </c>
      <c r="B91" s="30">
        <f>IF(($K$7+32)&gt;$L$7,"",SUMIFS('Данные'!$C:$C,'Данные'!$A:$A,"&gt;="&amp;($K$7+32),'Данные'!$A:$A,"&lt;"&amp;($K$7+32)+1,'Данные'!$B:$B,$B$3))</f>
        <v/>
      </c>
      <c r="C91" s="30">
        <f>IF(($K$7+32)&gt;$L$7,"",B91*(100+22)/100)</f>
        <v/>
      </c>
      <c r="D91" s="31">
        <f>IF(($K$7+32)&gt;$L$7,"",SUMIFS('Данные'!$D:$D,'Данные'!$A:$A,"&gt;="&amp;($K$7+32),'Данные'!$A:$A,"&lt;"&amp;($K$7+32)+1,'Данные'!$B:$B,$B$3))</f>
        <v/>
      </c>
      <c r="E91" s="31">
        <f>IF(($K$7+32)&gt;$L$7,"",SUMIFS('Данные'!$E:$E,'Данные'!$A:$A,"&gt;="&amp;($K$7+32),'Данные'!$A:$A,"&lt;"&amp;($K$7+32)+1,'Данные'!$B:$B,$B$3))</f>
        <v/>
      </c>
      <c r="F91" s="32">
        <f>IF(($K$7+32)&gt;$L$7,"",IFERROR(E91/D91,""))</f>
        <v/>
      </c>
      <c r="G91" s="33">
        <f>IF(($K$7+32)&gt;$L$7,"",IFERROR(B91/E91,""))</f>
        <v/>
      </c>
      <c r="H91" s="31">
        <f>IF(($K$7+32)&gt;$L$7,"",SUMIFS('Данные'!$F:$F,'Данные'!$A:$A,"&gt;="&amp;($K$7+32),'Данные'!$A:$A,"&lt;"&amp;($K$7+32)+1,'Данные'!$B:$B,$B$3))</f>
        <v/>
      </c>
      <c r="I91" s="33">
        <f>IF(($K$7+32)&gt;$L$7,"",IFERROR(B91/H91,""))</f>
        <v/>
      </c>
      <c r="J91" s="34">
        <f>IF(($K$7+32)&gt;$L$7,"",IFERROR(H91/E91,""))</f>
        <v/>
      </c>
    </row>
    <row r="92">
      <c r="A92" s="36">
        <f>IF(($K$7+33)&gt;$L$7,"",TEXT(($K$7+33),"DD.MM")&amp;" "&amp;CHOOSE(WEEKDAY(($K$7+33),2),"пн","вт","ср","чт","пт","сб","вс"))</f>
        <v/>
      </c>
      <c r="B92" s="37">
        <f>IF(($K$7+33)&gt;$L$7,"",SUMIFS('Данные'!$C:$C,'Данные'!$A:$A,"&gt;="&amp;($K$7+33),'Данные'!$A:$A,"&lt;"&amp;($K$7+33)+1,'Данные'!$B:$B,$B$3))</f>
        <v/>
      </c>
      <c r="C92" s="37">
        <f>IF(($K$7+33)&gt;$L$7,"",B92*(100+22)/100)</f>
        <v/>
      </c>
      <c r="D92" s="38">
        <f>IF(($K$7+33)&gt;$L$7,"",SUMIFS('Данные'!$D:$D,'Данные'!$A:$A,"&gt;="&amp;($K$7+33),'Данные'!$A:$A,"&lt;"&amp;($K$7+33)+1,'Данные'!$B:$B,$B$3))</f>
        <v/>
      </c>
      <c r="E92" s="38">
        <f>IF(($K$7+33)&gt;$L$7,"",SUMIFS('Данные'!$E:$E,'Данные'!$A:$A,"&gt;="&amp;($K$7+33),'Данные'!$A:$A,"&lt;"&amp;($K$7+33)+1,'Данные'!$B:$B,$B$3))</f>
        <v/>
      </c>
      <c r="F92" s="39">
        <f>IF(($K$7+33)&gt;$L$7,"",IFERROR(E92/D92,""))</f>
        <v/>
      </c>
      <c r="G92" s="40">
        <f>IF(($K$7+33)&gt;$L$7,"",IFERROR(B92/E92,""))</f>
        <v/>
      </c>
      <c r="H92" s="38">
        <f>IF(($K$7+33)&gt;$L$7,"",SUMIFS('Данные'!$F:$F,'Данные'!$A:$A,"&gt;="&amp;($K$7+33),'Данные'!$A:$A,"&lt;"&amp;($K$7+33)+1,'Данные'!$B:$B,$B$3))</f>
        <v/>
      </c>
      <c r="I92" s="40">
        <f>IF(($K$7+33)&gt;$L$7,"",IFERROR(B92/H92,""))</f>
        <v/>
      </c>
      <c r="J92" s="41">
        <f>IF(($K$7+33)&gt;$L$7,"",IFERROR(H92/E92,""))</f>
        <v/>
      </c>
    </row>
    <row r="93">
      <c r="A93" s="29">
        <f>IF(($K$7+34)&gt;$L$7,"",TEXT(($K$7+34),"DD.MM")&amp;" "&amp;CHOOSE(WEEKDAY(($K$7+34),2),"пн","вт","ср","чт","пт","сб","вс"))</f>
        <v/>
      </c>
      <c r="B93" s="30">
        <f>IF(($K$7+34)&gt;$L$7,"",SUMIFS('Данные'!$C:$C,'Данные'!$A:$A,"&gt;="&amp;($K$7+34),'Данные'!$A:$A,"&lt;"&amp;($K$7+34)+1,'Данные'!$B:$B,$B$3))</f>
        <v/>
      </c>
      <c r="C93" s="30">
        <f>IF(($K$7+34)&gt;$L$7,"",B93*(100+22)/100)</f>
        <v/>
      </c>
      <c r="D93" s="31">
        <f>IF(($K$7+34)&gt;$L$7,"",SUMIFS('Данные'!$D:$D,'Данные'!$A:$A,"&gt;="&amp;($K$7+34),'Данные'!$A:$A,"&lt;"&amp;($K$7+34)+1,'Данные'!$B:$B,$B$3))</f>
        <v/>
      </c>
      <c r="E93" s="31">
        <f>IF(($K$7+34)&gt;$L$7,"",SUMIFS('Данные'!$E:$E,'Данные'!$A:$A,"&gt;="&amp;($K$7+34),'Данные'!$A:$A,"&lt;"&amp;($K$7+34)+1,'Данные'!$B:$B,$B$3))</f>
        <v/>
      </c>
      <c r="F93" s="32">
        <f>IF(($K$7+34)&gt;$L$7,"",IFERROR(E93/D93,""))</f>
        <v/>
      </c>
      <c r="G93" s="33">
        <f>IF(($K$7+34)&gt;$L$7,"",IFERROR(B93/E93,""))</f>
        <v/>
      </c>
      <c r="H93" s="31">
        <f>IF(($K$7+34)&gt;$L$7,"",SUMIFS('Данные'!$F:$F,'Данные'!$A:$A,"&gt;="&amp;($K$7+34),'Данные'!$A:$A,"&lt;"&amp;($K$7+34)+1,'Данные'!$B:$B,$B$3))</f>
        <v/>
      </c>
      <c r="I93" s="33">
        <f>IF(($K$7+34)&gt;$L$7,"",IFERROR(B93/H93,""))</f>
        <v/>
      </c>
      <c r="J93" s="34">
        <f>IF(($K$7+34)&gt;$L$7,"",IFERROR(H93/E93,""))</f>
        <v/>
      </c>
    </row>
    <row r="94">
      <c r="A94" s="36">
        <f>IF(($K$7+35)&gt;$L$7,"",TEXT(($K$7+35),"DD.MM")&amp;" "&amp;CHOOSE(WEEKDAY(($K$7+35),2),"пн","вт","ср","чт","пт","сб","вс"))</f>
        <v/>
      </c>
      <c r="B94" s="37">
        <f>IF(($K$7+35)&gt;$L$7,"",SUMIFS('Данные'!$C:$C,'Данные'!$A:$A,"&gt;="&amp;($K$7+35),'Данные'!$A:$A,"&lt;"&amp;($K$7+35)+1,'Данные'!$B:$B,$B$3))</f>
        <v/>
      </c>
      <c r="C94" s="37">
        <f>IF(($K$7+35)&gt;$L$7,"",B94*(100+22)/100)</f>
        <v/>
      </c>
      <c r="D94" s="38">
        <f>IF(($K$7+35)&gt;$L$7,"",SUMIFS('Данные'!$D:$D,'Данные'!$A:$A,"&gt;="&amp;($K$7+35),'Данные'!$A:$A,"&lt;"&amp;($K$7+35)+1,'Данные'!$B:$B,$B$3))</f>
        <v/>
      </c>
      <c r="E94" s="38">
        <f>IF(($K$7+35)&gt;$L$7,"",SUMIFS('Данные'!$E:$E,'Данные'!$A:$A,"&gt;="&amp;($K$7+35),'Данные'!$A:$A,"&lt;"&amp;($K$7+35)+1,'Данные'!$B:$B,$B$3))</f>
        <v/>
      </c>
      <c r="F94" s="39">
        <f>IF(($K$7+35)&gt;$L$7,"",IFERROR(E94/D94,""))</f>
        <v/>
      </c>
      <c r="G94" s="40">
        <f>IF(($K$7+35)&gt;$L$7,"",IFERROR(B94/E94,""))</f>
        <v/>
      </c>
      <c r="H94" s="38">
        <f>IF(($K$7+35)&gt;$L$7,"",SUMIFS('Данные'!$F:$F,'Данные'!$A:$A,"&gt;="&amp;($K$7+35),'Данные'!$A:$A,"&lt;"&amp;($K$7+35)+1,'Данные'!$B:$B,$B$3))</f>
        <v/>
      </c>
      <c r="I94" s="40">
        <f>IF(($K$7+35)&gt;$L$7,"",IFERROR(B94/H94,""))</f>
        <v/>
      </c>
      <c r="J94" s="41">
        <f>IF(($K$7+35)&gt;$L$7,"",IFERROR(H94/E94,""))</f>
        <v/>
      </c>
    </row>
    <row r="95">
      <c r="A95" s="29">
        <f>IF(($K$7+36)&gt;$L$7,"",TEXT(($K$7+36),"DD.MM")&amp;" "&amp;CHOOSE(WEEKDAY(($K$7+36),2),"пн","вт","ср","чт","пт","сб","вс"))</f>
        <v/>
      </c>
      <c r="B95" s="30">
        <f>IF(($K$7+36)&gt;$L$7,"",SUMIFS('Данные'!$C:$C,'Данные'!$A:$A,"&gt;="&amp;($K$7+36),'Данные'!$A:$A,"&lt;"&amp;($K$7+36)+1,'Данные'!$B:$B,$B$3))</f>
        <v/>
      </c>
      <c r="C95" s="30">
        <f>IF(($K$7+36)&gt;$L$7,"",B95*(100+22)/100)</f>
        <v/>
      </c>
      <c r="D95" s="31">
        <f>IF(($K$7+36)&gt;$L$7,"",SUMIFS('Данные'!$D:$D,'Данные'!$A:$A,"&gt;="&amp;($K$7+36),'Данные'!$A:$A,"&lt;"&amp;($K$7+36)+1,'Данные'!$B:$B,$B$3))</f>
        <v/>
      </c>
      <c r="E95" s="31">
        <f>IF(($K$7+36)&gt;$L$7,"",SUMIFS('Данные'!$E:$E,'Данные'!$A:$A,"&gt;="&amp;($K$7+36),'Данные'!$A:$A,"&lt;"&amp;($K$7+36)+1,'Данные'!$B:$B,$B$3))</f>
        <v/>
      </c>
      <c r="F95" s="32">
        <f>IF(($K$7+36)&gt;$L$7,"",IFERROR(E95/D95,""))</f>
        <v/>
      </c>
      <c r="G95" s="33">
        <f>IF(($K$7+36)&gt;$L$7,"",IFERROR(B95/E95,""))</f>
        <v/>
      </c>
      <c r="H95" s="31">
        <f>IF(($K$7+36)&gt;$L$7,"",SUMIFS('Данные'!$F:$F,'Данные'!$A:$A,"&gt;="&amp;($K$7+36),'Данные'!$A:$A,"&lt;"&amp;($K$7+36)+1,'Данные'!$B:$B,$B$3))</f>
        <v/>
      </c>
      <c r="I95" s="33">
        <f>IF(($K$7+36)&gt;$L$7,"",IFERROR(B95/H95,""))</f>
        <v/>
      </c>
      <c r="J95" s="34">
        <f>IF(($K$7+36)&gt;$L$7,"",IFERROR(H95/E95,""))</f>
        <v/>
      </c>
    </row>
    <row r="96">
      <c r="A96" s="36">
        <f>IF(($K$7+37)&gt;$L$7,"",TEXT(($K$7+37),"DD.MM")&amp;" "&amp;CHOOSE(WEEKDAY(($K$7+37),2),"пн","вт","ср","чт","пт","сб","вс"))</f>
        <v/>
      </c>
      <c r="B96" s="37">
        <f>IF(($K$7+37)&gt;$L$7,"",SUMIFS('Данные'!$C:$C,'Данные'!$A:$A,"&gt;="&amp;($K$7+37),'Данные'!$A:$A,"&lt;"&amp;($K$7+37)+1,'Данные'!$B:$B,$B$3))</f>
        <v/>
      </c>
      <c r="C96" s="37">
        <f>IF(($K$7+37)&gt;$L$7,"",B96*(100+22)/100)</f>
        <v/>
      </c>
      <c r="D96" s="38">
        <f>IF(($K$7+37)&gt;$L$7,"",SUMIFS('Данные'!$D:$D,'Данные'!$A:$A,"&gt;="&amp;($K$7+37),'Данные'!$A:$A,"&lt;"&amp;($K$7+37)+1,'Данные'!$B:$B,$B$3))</f>
        <v/>
      </c>
      <c r="E96" s="38">
        <f>IF(($K$7+37)&gt;$L$7,"",SUMIFS('Данные'!$E:$E,'Данные'!$A:$A,"&gt;="&amp;($K$7+37),'Данные'!$A:$A,"&lt;"&amp;($K$7+37)+1,'Данные'!$B:$B,$B$3))</f>
        <v/>
      </c>
      <c r="F96" s="39">
        <f>IF(($K$7+37)&gt;$L$7,"",IFERROR(E96/D96,""))</f>
        <v/>
      </c>
      <c r="G96" s="40">
        <f>IF(($K$7+37)&gt;$L$7,"",IFERROR(B96/E96,""))</f>
        <v/>
      </c>
      <c r="H96" s="38">
        <f>IF(($K$7+37)&gt;$L$7,"",SUMIFS('Данные'!$F:$F,'Данные'!$A:$A,"&gt;="&amp;($K$7+37),'Данные'!$A:$A,"&lt;"&amp;($K$7+37)+1,'Данные'!$B:$B,$B$3))</f>
        <v/>
      </c>
      <c r="I96" s="40">
        <f>IF(($K$7+37)&gt;$L$7,"",IFERROR(B96/H96,""))</f>
        <v/>
      </c>
      <c r="J96" s="41">
        <f>IF(($K$7+37)&gt;$L$7,"",IFERROR(H96/E96,""))</f>
        <v/>
      </c>
    </row>
    <row r="97">
      <c r="A97" s="29">
        <f>IF(($K$7+38)&gt;$L$7,"",TEXT(($K$7+38),"DD.MM")&amp;" "&amp;CHOOSE(WEEKDAY(($K$7+38),2),"пн","вт","ср","чт","пт","сб","вс"))</f>
        <v/>
      </c>
      <c r="B97" s="30">
        <f>IF(($K$7+38)&gt;$L$7,"",SUMIFS('Данные'!$C:$C,'Данные'!$A:$A,"&gt;="&amp;($K$7+38),'Данные'!$A:$A,"&lt;"&amp;($K$7+38)+1,'Данные'!$B:$B,$B$3))</f>
        <v/>
      </c>
      <c r="C97" s="30">
        <f>IF(($K$7+38)&gt;$L$7,"",B97*(100+22)/100)</f>
        <v/>
      </c>
      <c r="D97" s="31">
        <f>IF(($K$7+38)&gt;$L$7,"",SUMIFS('Данные'!$D:$D,'Данные'!$A:$A,"&gt;="&amp;($K$7+38),'Данные'!$A:$A,"&lt;"&amp;($K$7+38)+1,'Данные'!$B:$B,$B$3))</f>
        <v/>
      </c>
      <c r="E97" s="31">
        <f>IF(($K$7+38)&gt;$L$7,"",SUMIFS('Данные'!$E:$E,'Данные'!$A:$A,"&gt;="&amp;($K$7+38),'Данные'!$A:$A,"&lt;"&amp;($K$7+38)+1,'Данные'!$B:$B,$B$3))</f>
        <v/>
      </c>
      <c r="F97" s="32">
        <f>IF(($K$7+38)&gt;$L$7,"",IFERROR(E97/D97,""))</f>
        <v/>
      </c>
      <c r="G97" s="33">
        <f>IF(($K$7+38)&gt;$L$7,"",IFERROR(B97/E97,""))</f>
        <v/>
      </c>
      <c r="H97" s="31">
        <f>IF(($K$7+38)&gt;$L$7,"",SUMIFS('Данные'!$F:$F,'Данные'!$A:$A,"&gt;="&amp;($K$7+38),'Данные'!$A:$A,"&lt;"&amp;($K$7+38)+1,'Данные'!$B:$B,$B$3))</f>
        <v/>
      </c>
      <c r="I97" s="33">
        <f>IF(($K$7+38)&gt;$L$7,"",IFERROR(B97/H97,""))</f>
        <v/>
      </c>
      <c r="J97" s="34">
        <f>IF(($K$7+38)&gt;$L$7,"",IFERROR(H97/E97,""))</f>
        <v/>
      </c>
    </row>
    <row r="98">
      <c r="A98" s="36">
        <f>IF(($K$7+39)&gt;$L$7,"",TEXT(($K$7+39),"DD.MM")&amp;" "&amp;CHOOSE(WEEKDAY(($K$7+39),2),"пн","вт","ср","чт","пт","сб","вс"))</f>
        <v/>
      </c>
      <c r="B98" s="37">
        <f>IF(($K$7+39)&gt;$L$7,"",SUMIFS('Данные'!$C:$C,'Данные'!$A:$A,"&gt;="&amp;($K$7+39),'Данные'!$A:$A,"&lt;"&amp;($K$7+39)+1,'Данные'!$B:$B,$B$3))</f>
        <v/>
      </c>
      <c r="C98" s="37">
        <f>IF(($K$7+39)&gt;$L$7,"",B98*(100+22)/100)</f>
        <v/>
      </c>
      <c r="D98" s="38">
        <f>IF(($K$7+39)&gt;$L$7,"",SUMIFS('Данные'!$D:$D,'Данные'!$A:$A,"&gt;="&amp;($K$7+39),'Данные'!$A:$A,"&lt;"&amp;($K$7+39)+1,'Данные'!$B:$B,$B$3))</f>
        <v/>
      </c>
      <c r="E98" s="38">
        <f>IF(($K$7+39)&gt;$L$7,"",SUMIFS('Данные'!$E:$E,'Данные'!$A:$A,"&gt;="&amp;($K$7+39),'Данные'!$A:$A,"&lt;"&amp;($K$7+39)+1,'Данные'!$B:$B,$B$3))</f>
        <v/>
      </c>
      <c r="F98" s="39">
        <f>IF(($K$7+39)&gt;$L$7,"",IFERROR(E98/D98,""))</f>
        <v/>
      </c>
      <c r="G98" s="40">
        <f>IF(($K$7+39)&gt;$L$7,"",IFERROR(B98/E98,""))</f>
        <v/>
      </c>
      <c r="H98" s="38">
        <f>IF(($K$7+39)&gt;$L$7,"",SUMIFS('Данные'!$F:$F,'Данные'!$A:$A,"&gt;="&amp;($K$7+39),'Данные'!$A:$A,"&lt;"&amp;($K$7+39)+1,'Данные'!$B:$B,$B$3))</f>
        <v/>
      </c>
      <c r="I98" s="40">
        <f>IF(($K$7+39)&gt;$L$7,"",IFERROR(B98/H98,""))</f>
        <v/>
      </c>
      <c r="J98" s="41">
        <f>IF(($K$7+39)&gt;$L$7,"",IFERROR(H98/E98,""))</f>
        <v/>
      </c>
    </row>
    <row r="99">
      <c r="A99" s="29">
        <f>IF(($K$7+40)&gt;$L$7,"",TEXT(($K$7+40),"DD.MM")&amp;" "&amp;CHOOSE(WEEKDAY(($K$7+40),2),"пн","вт","ср","чт","пт","сб","вс"))</f>
        <v/>
      </c>
      <c r="B99" s="30">
        <f>IF(($K$7+40)&gt;$L$7,"",SUMIFS('Данные'!$C:$C,'Данные'!$A:$A,"&gt;="&amp;($K$7+40),'Данные'!$A:$A,"&lt;"&amp;($K$7+40)+1,'Данные'!$B:$B,$B$3))</f>
        <v/>
      </c>
      <c r="C99" s="30">
        <f>IF(($K$7+40)&gt;$L$7,"",B99*(100+22)/100)</f>
        <v/>
      </c>
      <c r="D99" s="31">
        <f>IF(($K$7+40)&gt;$L$7,"",SUMIFS('Данные'!$D:$D,'Данные'!$A:$A,"&gt;="&amp;($K$7+40),'Данные'!$A:$A,"&lt;"&amp;($K$7+40)+1,'Данные'!$B:$B,$B$3))</f>
        <v/>
      </c>
      <c r="E99" s="31">
        <f>IF(($K$7+40)&gt;$L$7,"",SUMIFS('Данные'!$E:$E,'Данные'!$A:$A,"&gt;="&amp;($K$7+40),'Данные'!$A:$A,"&lt;"&amp;($K$7+40)+1,'Данные'!$B:$B,$B$3))</f>
        <v/>
      </c>
      <c r="F99" s="32">
        <f>IF(($K$7+40)&gt;$L$7,"",IFERROR(E99/D99,""))</f>
        <v/>
      </c>
      <c r="G99" s="33">
        <f>IF(($K$7+40)&gt;$L$7,"",IFERROR(B99/E99,""))</f>
        <v/>
      </c>
      <c r="H99" s="31">
        <f>IF(($K$7+40)&gt;$L$7,"",SUMIFS('Данные'!$F:$F,'Данные'!$A:$A,"&gt;="&amp;($K$7+40),'Данные'!$A:$A,"&lt;"&amp;($K$7+40)+1,'Данные'!$B:$B,$B$3))</f>
        <v/>
      </c>
      <c r="I99" s="33">
        <f>IF(($K$7+40)&gt;$L$7,"",IFERROR(B99/H99,""))</f>
        <v/>
      </c>
      <c r="J99" s="34">
        <f>IF(($K$7+40)&gt;$L$7,"",IFERROR(H99/E99,""))</f>
        <v/>
      </c>
    </row>
    <row r="100">
      <c r="A100" s="36">
        <f>IF(($K$7+41)&gt;$L$7,"",TEXT(($K$7+41),"DD.MM")&amp;" "&amp;CHOOSE(WEEKDAY(($K$7+41),2),"пн","вт","ср","чт","пт","сб","вс"))</f>
        <v/>
      </c>
      <c r="B100" s="37">
        <f>IF(($K$7+41)&gt;$L$7,"",SUMIFS('Данные'!$C:$C,'Данные'!$A:$A,"&gt;="&amp;($K$7+41),'Данные'!$A:$A,"&lt;"&amp;($K$7+41)+1,'Данные'!$B:$B,$B$3))</f>
        <v/>
      </c>
      <c r="C100" s="37">
        <f>IF(($K$7+41)&gt;$L$7,"",B100*(100+22)/100)</f>
        <v/>
      </c>
      <c r="D100" s="38">
        <f>IF(($K$7+41)&gt;$L$7,"",SUMIFS('Данные'!$D:$D,'Данные'!$A:$A,"&gt;="&amp;($K$7+41),'Данные'!$A:$A,"&lt;"&amp;($K$7+41)+1,'Данные'!$B:$B,$B$3))</f>
        <v/>
      </c>
      <c r="E100" s="38">
        <f>IF(($K$7+41)&gt;$L$7,"",SUMIFS('Данные'!$E:$E,'Данные'!$A:$A,"&gt;="&amp;($K$7+41),'Данные'!$A:$A,"&lt;"&amp;($K$7+41)+1,'Данные'!$B:$B,$B$3))</f>
        <v/>
      </c>
      <c r="F100" s="39">
        <f>IF(($K$7+41)&gt;$L$7,"",IFERROR(E100/D100,""))</f>
        <v/>
      </c>
      <c r="G100" s="40">
        <f>IF(($K$7+41)&gt;$L$7,"",IFERROR(B100/E100,""))</f>
        <v/>
      </c>
      <c r="H100" s="38">
        <f>IF(($K$7+41)&gt;$L$7,"",SUMIFS('Данные'!$F:$F,'Данные'!$A:$A,"&gt;="&amp;($K$7+41),'Данные'!$A:$A,"&lt;"&amp;($K$7+41)+1,'Данные'!$B:$B,$B$3))</f>
        <v/>
      </c>
      <c r="I100" s="40">
        <f>IF(($K$7+41)&gt;$L$7,"",IFERROR(B100/H100,""))</f>
        <v/>
      </c>
      <c r="J100" s="41">
        <f>IF(($K$7+41)&gt;$L$7,"",IFERROR(H100/E100,""))</f>
        <v/>
      </c>
    </row>
    <row r="101">
      <c r="A101" s="29">
        <f>IF(($K$7+42)&gt;$L$7,"",TEXT(($K$7+42),"DD.MM")&amp;" "&amp;CHOOSE(WEEKDAY(($K$7+42),2),"пн","вт","ср","чт","пт","сб","вс"))</f>
        <v/>
      </c>
      <c r="B101" s="30">
        <f>IF(($K$7+42)&gt;$L$7,"",SUMIFS('Данные'!$C:$C,'Данные'!$A:$A,"&gt;="&amp;($K$7+42),'Данные'!$A:$A,"&lt;"&amp;($K$7+42)+1,'Данные'!$B:$B,$B$3))</f>
        <v/>
      </c>
      <c r="C101" s="30">
        <f>IF(($K$7+42)&gt;$L$7,"",B101*(100+22)/100)</f>
        <v/>
      </c>
      <c r="D101" s="31">
        <f>IF(($K$7+42)&gt;$L$7,"",SUMIFS('Данные'!$D:$D,'Данные'!$A:$A,"&gt;="&amp;($K$7+42),'Данные'!$A:$A,"&lt;"&amp;($K$7+42)+1,'Данные'!$B:$B,$B$3))</f>
        <v/>
      </c>
      <c r="E101" s="31">
        <f>IF(($K$7+42)&gt;$L$7,"",SUMIFS('Данные'!$E:$E,'Данные'!$A:$A,"&gt;="&amp;($K$7+42),'Данные'!$A:$A,"&lt;"&amp;($K$7+42)+1,'Данные'!$B:$B,$B$3))</f>
        <v/>
      </c>
      <c r="F101" s="32">
        <f>IF(($K$7+42)&gt;$L$7,"",IFERROR(E101/D101,""))</f>
        <v/>
      </c>
      <c r="G101" s="33">
        <f>IF(($K$7+42)&gt;$L$7,"",IFERROR(B101/E101,""))</f>
        <v/>
      </c>
      <c r="H101" s="31">
        <f>IF(($K$7+42)&gt;$L$7,"",SUMIFS('Данные'!$F:$F,'Данные'!$A:$A,"&gt;="&amp;($K$7+42),'Данные'!$A:$A,"&lt;"&amp;($K$7+42)+1,'Данные'!$B:$B,$B$3))</f>
        <v/>
      </c>
      <c r="I101" s="33">
        <f>IF(($K$7+42)&gt;$L$7,"",IFERROR(B101/H101,""))</f>
        <v/>
      </c>
      <c r="J101" s="34">
        <f>IF(($K$7+42)&gt;$L$7,"",IFERROR(H101/E101,""))</f>
        <v/>
      </c>
    </row>
    <row r="102">
      <c r="A102" s="36">
        <f>IF(($K$7+43)&gt;$L$7,"",TEXT(($K$7+43),"DD.MM")&amp;" "&amp;CHOOSE(WEEKDAY(($K$7+43),2),"пн","вт","ср","чт","пт","сб","вс"))</f>
        <v/>
      </c>
      <c r="B102" s="37">
        <f>IF(($K$7+43)&gt;$L$7,"",SUMIFS('Данные'!$C:$C,'Данные'!$A:$A,"&gt;="&amp;($K$7+43),'Данные'!$A:$A,"&lt;"&amp;($K$7+43)+1,'Данные'!$B:$B,$B$3))</f>
        <v/>
      </c>
      <c r="C102" s="37">
        <f>IF(($K$7+43)&gt;$L$7,"",B102*(100+22)/100)</f>
        <v/>
      </c>
      <c r="D102" s="38">
        <f>IF(($K$7+43)&gt;$L$7,"",SUMIFS('Данные'!$D:$D,'Данные'!$A:$A,"&gt;="&amp;($K$7+43),'Данные'!$A:$A,"&lt;"&amp;($K$7+43)+1,'Данные'!$B:$B,$B$3))</f>
        <v/>
      </c>
      <c r="E102" s="38">
        <f>IF(($K$7+43)&gt;$L$7,"",SUMIFS('Данные'!$E:$E,'Данные'!$A:$A,"&gt;="&amp;($K$7+43),'Данные'!$A:$A,"&lt;"&amp;($K$7+43)+1,'Данные'!$B:$B,$B$3))</f>
        <v/>
      </c>
      <c r="F102" s="39">
        <f>IF(($K$7+43)&gt;$L$7,"",IFERROR(E102/D102,""))</f>
        <v/>
      </c>
      <c r="G102" s="40">
        <f>IF(($K$7+43)&gt;$L$7,"",IFERROR(B102/E102,""))</f>
        <v/>
      </c>
      <c r="H102" s="38">
        <f>IF(($K$7+43)&gt;$L$7,"",SUMIFS('Данные'!$F:$F,'Данные'!$A:$A,"&gt;="&amp;($K$7+43),'Данные'!$A:$A,"&lt;"&amp;($K$7+43)+1,'Данные'!$B:$B,$B$3))</f>
        <v/>
      </c>
      <c r="I102" s="40">
        <f>IF(($K$7+43)&gt;$L$7,"",IFERROR(B102/H102,""))</f>
        <v/>
      </c>
      <c r="J102" s="41">
        <f>IF(($K$7+43)&gt;$L$7,"",IFERROR(H102/E102,""))</f>
        <v/>
      </c>
    </row>
    <row r="103">
      <c r="A103" s="29">
        <f>IF(($K$7+44)&gt;$L$7,"",TEXT(($K$7+44),"DD.MM")&amp;" "&amp;CHOOSE(WEEKDAY(($K$7+44),2),"пн","вт","ср","чт","пт","сб","вс"))</f>
        <v/>
      </c>
      <c r="B103" s="30">
        <f>IF(($K$7+44)&gt;$L$7,"",SUMIFS('Данные'!$C:$C,'Данные'!$A:$A,"&gt;="&amp;($K$7+44),'Данные'!$A:$A,"&lt;"&amp;($K$7+44)+1,'Данные'!$B:$B,$B$3))</f>
        <v/>
      </c>
      <c r="C103" s="30">
        <f>IF(($K$7+44)&gt;$L$7,"",B103*(100+22)/100)</f>
        <v/>
      </c>
      <c r="D103" s="31">
        <f>IF(($K$7+44)&gt;$L$7,"",SUMIFS('Данные'!$D:$D,'Данные'!$A:$A,"&gt;="&amp;($K$7+44),'Данные'!$A:$A,"&lt;"&amp;($K$7+44)+1,'Данные'!$B:$B,$B$3))</f>
        <v/>
      </c>
      <c r="E103" s="31">
        <f>IF(($K$7+44)&gt;$L$7,"",SUMIFS('Данные'!$E:$E,'Данные'!$A:$A,"&gt;="&amp;($K$7+44),'Данные'!$A:$A,"&lt;"&amp;($K$7+44)+1,'Данные'!$B:$B,$B$3))</f>
        <v/>
      </c>
      <c r="F103" s="32">
        <f>IF(($K$7+44)&gt;$L$7,"",IFERROR(E103/D103,""))</f>
        <v/>
      </c>
      <c r="G103" s="33">
        <f>IF(($K$7+44)&gt;$L$7,"",IFERROR(B103/E103,""))</f>
        <v/>
      </c>
      <c r="H103" s="31">
        <f>IF(($K$7+44)&gt;$L$7,"",SUMIFS('Данные'!$F:$F,'Данные'!$A:$A,"&gt;="&amp;($K$7+44),'Данные'!$A:$A,"&lt;"&amp;($K$7+44)+1,'Данные'!$B:$B,$B$3))</f>
        <v/>
      </c>
      <c r="I103" s="33">
        <f>IF(($K$7+44)&gt;$L$7,"",IFERROR(B103/H103,""))</f>
        <v/>
      </c>
      <c r="J103" s="34">
        <f>IF(($K$7+44)&gt;$L$7,"",IFERROR(H103/E103,""))</f>
        <v/>
      </c>
    </row>
    <row r="104">
      <c r="A104" s="36">
        <f>IF(($K$7+45)&gt;$L$7,"",TEXT(($K$7+45),"DD.MM")&amp;" "&amp;CHOOSE(WEEKDAY(($K$7+45),2),"пн","вт","ср","чт","пт","сб","вс"))</f>
        <v/>
      </c>
      <c r="B104" s="37">
        <f>IF(($K$7+45)&gt;$L$7,"",SUMIFS('Данные'!$C:$C,'Данные'!$A:$A,"&gt;="&amp;($K$7+45),'Данные'!$A:$A,"&lt;"&amp;($K$7+45)+1,'Данные'!$B:$B,$B$3))</f>
        <v/>
      </c>
      <c r="C104" s="37">
        <f>IF(($K$7+45)&gt;$L$7,"",B104*(100+22)/100)</f>
        <v/>
      </c>
      <c r="D104" s="38">
        <f>IF(($K$7+45)&gt;$L$7,"",SUMIFS('Данные'!$D:$D,'Данные'!$A:$A,"&gt;="&amp;($K$7+45),'Данные'!$A:$A,"&lt;"&amp;($K$7+45)+1,'Данные'!$B:$B,$B$3))</f>
        <v/>
      </c>
      <c r="E104" s="38">
        <f>IF(($K$7+45)&gt;$L$7,"",SUMIFS('Данные'!$E:$E,'Данные'!$A:$A,"&gt;="&amp;($K$7+45),'Данные'!$A:$A,"&lt;"&amp;($K$7+45)+1,'Данные'!$B:$B,$B$3))</f>
        <v/>
      </c>
      <c r="F104" s="39">
        <f>IF(($K$7+45)&gt;$L$7,"",IFERROR(E104/D104,""))</f>
        <v/>
      </c>
      <c r="G104" s="40">
        <f>IF(($K$7+45)&gt;$L$7,"",IFERROR(B104/E104,""))</f>
        <v/>
      </c>
      <c r="H104" s="38">
        <f>IF(($K$7+45)&gt;$L$7,"",SUMIFS('Данные'!$F:$F,'Данные'!$A:$A,"&gt;="&amp;($K$7+45),'Данные'!$A:$A,"&lt;"&amp;($K$7+45)+1,'Данные'!$B:$B,$B$3))</f>
        <v/>
      </c>
      <c r="I104" s="40">
        <f>IF(($K$7+45)&gt;$L$7,"",IFERROR(B104/H104,""))</f>
        <v/>
      </c>
      <c r="J104" s="41">
        <f>IF(($K$7+45)&gt;$L$7,"",IFERROR(H104/E104,""))</f>
        <v/>
      </c>
    </row>
    <row r="105">
      <c r="A105" s="29">
        <f>IF(($K$7+46)&gt;$L$7,"",TEXT(($K$7+46),"DD.MM")&amp;" "&amp;CHOOSE(WEEKDAY(($K$7+46),2),"пн","вт","ср","чт","пт","сб","вс"))</f>
        <v/>
      </c>
      <c r="B105" s="30">
        <f>IF(($K$7+46)&gt;$L$7,"",SUMIFS('Данные'!$C:$C,'Данные'!$A:$A,"&gt;="&amp;($K$7+46),'Данные'!$A:$A,"&lt;"&amp;($K$7+46)+1,'Данные'!$B:$B,$B$3))</f>
        <v/>
      </c>
      <c r="C105" s="30">
        <f>IF(($K$7+46)&gt;$L$7,"",B105*(100+22)/100)</f>
        <v/>
      </c>
      <c r="D105" s="31">
        <f>IF(($K$7+46)&gt;$L$7,"",SUMIFS('Данные'!$D:$D,'Данные'!$A:$A,"&gt;="&amp;($K$7+46),'Данные'!$A:$A,"&lt;"&amp;($K$7+46)+1,'Данные'!$B:$B,$B$3))</f>
        <v/>
      </c>
      <c r="E105" s="31">
        <f>IF(($K$7+46)&gt;$L$7,"",SUMIFS('Данные'!$E:$E,'Данные'!$A:$A,"&gt;="&amp;($K$7+46),'Данные'!$A:$A,"&lt;"&amp;($K$7+46)+1,'Данные'!$B:$B,$B$3))</f>
        <v/>
      </c>
      <c r="F105" s="32">
        <f>IF(($K$7+46)&gt;$L$7,"",IFERROR(E105/D105,""))</f>
        <v/>
      </c>
      <c r="G105" s="33">
        <f>IF(($K$7+46)&gt;$L$7,"",IFERROR(B105/E105,""))</f>
        <v/>
      </c>
      <c r="H105" s="31">
        <f>IF(($K$7+46)&gt;$L$7,"",SUMIFS('Данные'!$F:$F,'Данные'!$A:$A,"&gt;="&amp;($K$7+46),'Данные'!$A:$A,"&lt;"&amp;($K$7+46)+1,'Данные'!$B:$B,$B$3))</f>
        <v/>
      </c>
      <c r="I105" s="33">
        <f>IF(($K$7+46)&gt;$L$7,"",IFERROR(B105/H105,""))</f>
        <v/>
      </c>
      <c r="J105" s="34">
        <f>IF(($K$7+46)&gt;$L$7,"",IFERROR(H105/E105,""))</f>
        <v/>
      </c>
    </row>
    <row r="106">
      <c r="A106" s="36">
        <f>IF(($K$7+47)&gt;$L$7,"",TEXT(($K$7+47),"DD.MM")&amp;" "&amp;CHOOSE(WEEKDAY(($K$7+47),2),"пн","вт","ср","чт","пт","сб","вс"))</f>
        <v/>
      </c>
      <c r="B106" s="37">
        <f>IF(($K$7+47)&gt;$L$7,"",SUMIFS('Данные'!$C:$C,'Данные'!$A:$A,"&gt;="&amp;($K$7+47),'Данные'!$A:$A,"&lt;"&amp;($K$7+47)+1,'Данные'!$B:$B,$B$3))</f>
        <v/>
      </c>
      <c r="C106" s="37">
        <f>IF(($K$7+47)&gt;$L$7,"",B106*(100+22)/100)</f>
        <v/>
      </c>
      <c r="D106" s="38">
        <f>IF(($K$7+47)&gt;$L$7,"",SUMIFS('Данные'!$D:$D,'Данные'!$A:$A,"&gt;="&amp;($K$7+47),'Данные'!$A:$A,"&lt;"&amp;($K$7+47)+1,'Данные'!$B:$B,$B$3))</f>
        <v/>
      </c>
      <c r="E106" s="38">
        <f>IF(($K$7+47)&gt;$L$7,"",SUMIFS('Данные'!$E:$E,'Данные'!$A:$A,"&gt;="&amp;($K$7+47),'Данные'!$A:$A,"&lt;"&amp;($K$7+47)+1,'Данные'!$B:$B,$B$3))</f>
        <v/>
      </c>
      <c r="F106" s="39">
        <f>IF(($K$7+47)&gt;$L$7,"",IFERROR(E106/D106,""))</f>
        <v/>
      </c>
      <c r="G106" s="40">
        <f>IF(($K$7+47)&gt;$L$7,"",IFERROR(B106/E106,""))</f>
        <v/>
      </c>
      <c r="H106" s="38">
        <f>IF(($K$7+47)&gt;$L$7,"",SUMIFS('Данные'!$F:$F,'Данные'!$A:$A,"&gt;="&amp;($K$7+47),'Данные'!$A:$A,"&lt;"&amp;($K$7+47)+1,'Данные'!$B:$B,$B$3))</f>
        <v/>
      </c>
      <c r="I106" s="40">
        <f>IF(($K$7+47)&gt;$L$7,"",IFERROR(B106/H106,""))</f>
        <v/>
      </c>
      <c r="J106" s="41">
        <f>IF(($K$7+47)&gt;$L$7,"",IFERROR(H106/E106,""))</f>
        <v/>
      </c>
    </row>
    <row r="107">
      <c r="A107" s="29">
        <f>IF(($K$7+48)&gt;$L$7,"",TEXT(($K$7+48),"DD.MM")&amp;" "&amp;CHOOSE(WEEKDAY(($K$7+48),2),"пн","вт","ср","чт","пт","сб","вс"))</f>
        <v/>
      </c>
      <c r="B107" s="30">
        <f>IF(($K$7+48)&gt;$L$7,"",SUMIFS('Данные'!$C:$C,'Данные'!$A:$A,"&gt;="&amp;($K$7+48),'Данные'!$A:$A,"&lt;"&amp;($K$7+48)+1,'Данные'!$B:$B,$B$3))</f>
        <v/>
      </c>
      <c r="C107" s="30">
        <f>IF(($K$7+48)&gt;$L$7,"",B107*(100+22)/100)</f>
        <v/>
      </c>
      <c r="D107" s="31">
        <f>IF(($K$7+48)&gt;$L$7,"",SUMIFS('Данные'!$D:$D,'Данные'!$A:$A,"&gt;="&amp;($K$7+48),'Данные'!$A:$A,"&lt;"&amp;($K$7+48)+1,'Данные'!$B:$B,$B$3))</f>
        <v/>
      </c>
      <c r="E107" s="31">
        <f>IF(($K$7+48)&gt;$L$7,"",SUMIFS('Данные'!$E:$E,'Данные'!$A:$A,"&gt;="&amp;($K$7+48),'Данные'!$A:$A,"&lt;"&amp;($K$7+48)+1,'Данные'!$B:$B,$B$3))</f>
        <v/>
      </c>
      <c r="F107" s="32">
        <f>IF(($K$7+48)&gt;$L$7,"",IFERROR(E107/D107,""))</f>
        <v/>
      </c>
      <c r="G107" s="33">
        <f>IF(($K$7+48)&gt;$L$7,"",IFERROR(B107/E107,""))</f>
        <v/>
      </c>
      <c r="H107" s="31">
        <f>IF(($K$7+48)&gt;$L$7,"",SUMIFS('Данные'!$F:$F,'Данные'!$A:$A,"&gt;="&amp;($K$7+48),'Данные'!$A:$A,"&lt;"&amp;($K$7+48)+1,'Данные'!$B:$B,$B$3))</f>
        <v/>
      </c>
      <c r="I107" s="33">
        <f>IF(($K$7+48)&gt;$L$7,"",IFERROR(B107/H107,""))</f>
        <v/>
      </c>
      <c r="J107" s="34">
        <f>IF(($K$7+48)&gt;$L$7,"",IFERROR(H107/E107,""))</f>
        <v/>
      </c>
    </row>
    <row r="108">
      <c r="A108" s="36">
        <f>IF(($K$7+49)&gt;$L$7,"",TEXT(($K$7+49),"DD.MM")&amp;" "&amp;CHOOSE(WEEKDAY(($K$7+49),2),"пн","вт","ср","чт","пт","сб","вс"))</f>
        <v/>
      </c>
      <c r="B108" s="37">
        <f>IF(($K$7+49)&gt;$L$7,"",SUMIFS('Данные'!$C:$C,'Данные'!$A:$A,"&gt;="&amp;($K$7+49),'Данные'!$A:$A,"&lt;"&amp;($K$7+49)+1,'Данные'!$B:$B,$B$3))</f>
        <v/>
      </c>
      <c r="C108" s="37">
        <f>IF(($K$7+49)&gt;$L$7,"",B108*(100+22)/100)</f>
        <v/>
      </c>
      <c r="D108" s="38">
        <f>IF(($K$7+49)&gt;$L$7,"",SUMIFS('Данные'!$D:$D,'Данные'!$A:$A,"&gt;="&amp;($K$7+49),'Данные'!$A:$A,"&lt;"&amp;($K$7+49)+1,'Данные'!$B:$B,$B$3))</f>
        <v/>
      </c>
      <c r="E108" s="38">
        <f>IF(($K$7+49)&gt;$L$7,"",SUMIFS('Данные'!$E:$E,'Данные'!$A:$A,"&gt;="&amp;($K$7+49),'Данные'!$A:$A,"&lt;"&amp;($K$7+49)+1,'Данные'!$B:$B,$B$3))</f>
        <v/>
      </c>
      <c r="F108" s="39">
        <f>IF(($K$7+49)&gt;$L$7,"",IFERROR(E108/D108,""))</f>
        <v/>
      </c>
      <c r="G108" s="40">
        <f>IF(($K$7+49)&gt;$L$7,"",IFERROR(B108/E108,""))</f>
        <v/>
      </c>
      <c r="H108" s="38">
        <f>IF(($K$7+49)&gt;$L$7,"",SUMIFS('Данные'!$F:$F,'Данные'!$A:$A,"&gt;="&amp;($K$7+49),'Данные'!$A:$A,"&lt;"&amp;($K$7+49)+1,'Данные'!$B:$B,$B$3))</f>
        <v/>
      </c>
      <c r="I108" s="40">
        <f>IF(($K$7+49)&gt;$L$7,"",IFERROR(B108/H108,""))</f>
        <v/>
      </c>
      <c r="J108" s="41">
        <f>IF(($K$7+49)&gt;$L$7,"",IFERROR(H108/E108,""))</f>
        <v/>
      </c>
    </row>
    <row r="109">
      <c r="A109" s="29">
        <f>IF(($K$7+50)&gt;$L$7,"",TEXT(($K$7+50),"DD.MM")&amp;" "&amp;CHOOSE(WEEKDAY(($K$7+50),2),"пн","вт","ср","чт","пт","сб","вс"))</f>
        <v/>
      </c>
      <c r="B109" s="30">
        <f>IF(($K$7+50)&gt;$L$7,"",SUMIFS('Данные'!$C:$C,'Данные'!$A:$A,"&gt;="&amp;($K$7+50),'Данные'!$A:$A,"&lt;"&amp;($K$7+50)+1,'Данные'!$B:$B,$B$3))</f>
        <v/>
      </c>
      <c r="C109" s="30">
        <f>IF(($K$7+50)&gt;$L$7,"",B109*(100+22)/100)</f>
        <v/>
      </c>
      <c r="D109" s="31">
        <f>IF(($K$7+50)&gt;$L$7,"",SUMIFS('Данные'!$D:$D,'Данные'!$A:$A,"&gt;="&amp;($K$7+50),'Данные'!$A:$A,"&lt;"&amp;($K$7+50)+1,'Данные'!$B:$B,$B$3))</f>
        <v/>
      </c>
      <c r="E109" s="31">
        <f>IF(($K$7+50)&gt;$L$7,"",SUMIFS('Данные'!$E:$E,'Данные'!$A:$A,"&gt;="&amp;($K$7+50),'Данные'!$A:$A,"&lt;"&amp;($K$7+50)+1,'Данные'!$B:$B,$B$3))</f>
        <v/>
      </c>
      <c r="F109" s="32">
        <f>IF(($K$7+50)&gt;$L$7,"",IFERROR(E109/D109,""))</f>
        <v/>
      </c>
      <c r="G109" s="33">
        <f>IF(($K$7+50)&gt;$L$7,"",IFERROR(B109/E109,""))</f>
        <v/>
      </c>
      <c r="H109" s="31">
        <f>IF(($K$7+50)&gt;$L$7,"",SUMIFS('Данные'!$F:$F,'Данные'!$A:$A,"&gt;="&amp;($K$7+50),'Данные'!$A:$A,"&lt;"&amp;($K$7+50)+1,'Данные'!$B:$B,$B$3))</f>
        <v/>
      </c>
      <c r="I109" s="33">
        <f>IF(($K$7+50)&gt;$L$7,"",IFERROR(B109/H109,""))</f>
        <v/>
      </c>
      <c r="J109" s="34">
        <f>IF(($K$7+50)&gt;$L$7,"",IFERROR(H109/E109,""))</f>
        <v/>
      </c>
    </row>
    <row r="110">
      <c r="A110" s="36">
        <f>IF(($K$7+51)&gt;$L$7,"",TEXT(($K$7+51),"DD.MM")&amp;" "&amp;CHOOSE(WEEKDAY(($K$7+51),2),"пн","вт","ср","чт","пт","сб","вс"))</f>
        <v/>
      </c>
      <c r="B110" s="37">
        <f>IF(($K$7+51)&gt;$L$7,"",SUMIFS('Данные'!$C:$C,'Данные'!$A:$A,"&gt;="&amp;($K$7+51),'Данные'!$A:$A,"&lt;"&amp;($K$7+51)+1,'Данные'!$B:$B,$B$3))</f>
        <v/>
      </c>
      <c r="C110" s="37">
        <f>IF(($K$7+51)&gt;$L$7,"",B110*(100+22)/100)</f>
        <v/>
      </c>
      <c r="D110" s="38">
        <f>IF(($K$7+51)&gt;$L$7,"",SUMIFS('Данные'!$D:$D,'Данные'!$A:$A,"&gt;="&amp;($K$7+51),'Данные'!$A:$A,"&lt;"&amp;($K$7+51)+1,'Данные'!$B:$B,$B$3))</f>
        <v/>
      </c>
      <c r="E110" s="38">
        <f>IF(($K$7+51)&gt;$L$7,"",SUMIFS('Данные'!$E:$E,'Данные'!$A:$A,"&gt;="&amp;($K$7+51),'Данные'!$A:$A,"&lt;"&amp;($K$7+51)+1,'Данные'!$B:$B,$B$3))</f>
        <v/>
      </c>
      <c r="F110" s="39">
        <f>IF(($K$7+51)&gt;$L$7,"",IFERROR(E110/D110,""))</f>
        <v/>
      </c>
      <c r="G110" s="40">
        <f>IF(($K$7+51)&gt;$L$7,"",IFERROR(B110/E110,""))</f>
        <v/>
      </c>
      <c r="H110" s="38">
        <f>IF(($K$7+51)&gt;$L$7,"",SUMIFS('Данные'!$F:$F,'Данные'!$A:$A,"&gt;="&amp;($K$7+51),'Данные'!$A:$A,"&lt;"&amp;($K$7+51)+1,'Данные'!$B:$B,$B$3))</f>
        <v/>
      </c>
      <c r="I110" s="40">
        <f>IF(($K$7+51)&gt;$L$7,"",IFERROR(B110/H110,""))</f>
        <v/>
      </c>
      <c r="J110" s="41">
        <f>IF(($K$7+51)&gt;$L$7,"",IFERROR(H110/E110,""))</f>
        <v/>
      </c>
    </row>
    <row r="111">
      <c r="A111" s="29">
        <f>IF(($K$7+52)&gt;$L$7,"",TEXT(($K$7+52),"DD.MM")&amp;" "&amp;CHOOSE(WEEKDAY(($K$7+52),2),"пн","вт","ср","чт","пт","сб","вс"))</f>
        <v/>
      </c>
      <c r="B111" s="30">
        <f>IF(($K$7+52)&gt;$L$7,"",SUMIFS('Данные'!$C:$C,'Данные'!$A:$A,"&gt;="&amp;($K$7+52),'Данные'!$A:$A,"&lt;"&amp;($K$7+52)+1,'Данные'!$B:$B,$B$3))</f>
        <v/>
      </c>
      <c r="C111" s="30">
        <f>IF(($K$7+52)&gt;$L$7,"",B111*(100+22)/100)</f>
        <v/>
      </c>
      <c r="D111" s="31">
        <f>IF(($K$7+52)&gt;$L$7,"",SUMIFS('Данные'!$D:$D,'Данные'!$A:$A,"&gt;="&amp;($K$7+52),'Данные'!$A:$A,"&lt;"&amp;($K$7+52)+1,'Данные'!$B:$B,$B$3))</f>
        <v/>
      </c>
      <c r="E111" s="31">
        <f>IF(($K$7+52)&gt;$L$7,"",SUMIFS('Данные'!$E:$E,'Данные'!$A:$A,"&gt;="&amp;($K$7+52),'Данные'!$A:$A,"&lt;"&amp;($K$7+52)+1,'Данные'!$B:$B,$B$3))</f>
        <v/>
      </c>
      <c r="F111" s="32">
        <f>IF(($K$7+52)&gt;$L$7,"",IFERROR(E111/D111,""))</f>
        <v/>
      </c>
      <c r="G111" s="33">
        <f>IF(($K$7+52)&gt;$L$7,"",IFERROR(B111/E111,""))</f>
        <v/>
      </c>
      <c r="H111" s="31">
        <f>IF(($K$7+52)&gt;$L$7,"",SUMIFS('Данные'!$F:$F,'Данные'!$A:$A,"&gt;="&amp;($K$7+52),'Данные'!$A:$A,"&lt;"&amp;($K$7+52)+1,'Данные'!$B:$B,$B$3))</f>
        <v/>
      </c>
      <c r="I111" s="33">
        <f>IF(($K$7+52)&gt;$L$7,"",IFERROR(B111/H111,""))</f>
        <v/>
      </c>
      <c r="J111" s="34">
        <f>IF(($K$7+52)&gt;$L$7,"",IFERROR(H111/E111,""))</f>
        <v/>
      </c>
    </row>
    <row r="112">
      <c r="A112" s="36">
        <f>IF(($K$7+53)&gt;$L$7,"",TEXT(($K$7+53),"DD.MM")&amp;" "&amp;CHOOSE(WEEKDAY(($K$7+53),2),"пн","вт","ср","чт","пт","сб","вс"))</f>
        <v/>
      </c>
      <c r="B112" s="37">
        <f>IF(($K$7+53)&gt;$L$7,"",SUMIFS('Данные'!$C:$C,'Данные'!$A:$A,"&gt;="&amp;($K$7+53),'Данные'!$A:$A,"&lt;"&amp;($K$7+53)+1,'Данные'!$B:$B,$B$3))</f>
        <v/>
      </c>
      <c r="C112" s="37">
        <f>IF(($K$7+53)&gt;$L$7,"",B112*(100+22)/100)</f>
        <v/>
      </c>
      <c r="D112" s="38">
        <f>IF(($K$7+53)&gt;$L$7,"",SUMIFS('Данные'!$D:$D,'Данные'!$A:$A,"&gt;="&amp;($K$7+53),'Данные'!$A:$A,"&lt;"&amp;($K$7+53)+1,'Данные'!$B:$B,$B$3))</f>
        <v/>
      </c>
      <c r="E112" s="38">
        <f>IF(($K$7+53)&gt;$L$7,"",SUMIFS('Данные'!$E:$E,'Данные'!$A:$A,"&gt;="&amp;($K$7+53),'Данные'!$A:$A,"&lt;"&amp;($K$7+53)+1,'Данные'!$B:$B,$B$3))</f>
        <v/>
      </c>
      <c r="F112" s="39">
        <f>IF(($K$7+53)&gt;$L$7,"",IFERROR(E112/D112,""))</f>
        <v/>
      </c>
      <c r="G112" s="40">
        <f>IF(($K$7+53)&gt;$L$7,"",IFERROR(B112/E112,""))</f>
        <v/>
      </c>
      <c r="H112" s="38">
        <f>IF(($K$7+53)&gt;$L$7,"",SUMIFS('Данные'!$F:$F,'Данные'!$A:$A,"&gt;="&amp;($K$7+53),'Данные'!$A:$A,"&lt;"&amp;($K$7+53)+1,'Данные'!$B:$B,$B$3))</f>
        <v/>
      </c>
      <c r="I112" s="40">
        <f>IF(($K$7+53)&gt;$L$7,"",IFERROR(B112/H112,""))</f>
        <v/>
      </c>
      <c r="J112" s="41">
        <f>IF(($K$7+53)&gt;$L$7,"",IFERROR(H112/E112,""))</f>
        <v/>
      </c>
    </row>
    <row r="113">
      <c r="A113" s="29">
        <f>IF(($K$7+54)&gt;$L$7,"",TEXT(($K$7+54),"DD.MM")&amp;" "&amp;CHOOSE(WEEKDAY(($K$7+54),2),"пн","вт","ср","чт","пт","сб","вс"))</f>
        <v/>
      </c>
      <c r="B113" s="30">
        <f>IF(($K$7+54)&gt;$L$7,"",SUMIFS('Данные'!$C:$C,'Данные'!$A:$A,"&gt;="&amp;($K$7+54),'Данные'!$A:$A,"&lt;"&amp;($K$7+54)+1,'Данные'!$B:$B,$B$3))</f>
        <v/>
      </c>
      <c r="C113" s="30">
        <f>IF(($K$7+54)&gt;$L$7,"",B113*(100+22)/100)</f>
        <v/>
      </c>
      <c r="D113" s="31">
        <f>IF(($K$7+54)&gt;$L$7,"",SUMIFS('Данные'!$D:$D,'Данные'!$A:$A,"&gt;="&amp;($K$7+54),'Данные'!$A:$A,"&lt;"&amp;($K$7+54)+1,'Данные'!$B:$B,$B$3))</f>
        <v/>
      </c>
      <c r="E113" s="31">
        <f>IF(($K$7+54)&gt;$L$7,"",SUMIFS('Данные'!$E:$E,'Данные'!$A:$A,"&gt;="&amp;($K$7+54),'Данные'!$A:$A,"&lt;"&amp;($K$7+54)+1,'Данные'!$B:$B,$B$3))</f>
        <v/>
      </c>
      <c r="F113" s="32">
        <f>IF(($K$7+54)&gt;$L$7,"",IFERROR(E113/D113,""))</f>
        <v/>
      </c>
      <c r="G113" s="33">
        <f>IF(($K$7+54)&gt;$L$7,"",IFERROR(B113/E113,""))</f>
        <v/>
      </c>
      <c r="H113" s="31">
        <f>IF(($K$7+54)&gt;$L$7,"",SUMIFS('Данные'!$F:$F,'Данные'!$A:$A,"&gt;="&amp;($K$7+54),'Данные'!$A:$A,"&lt;"&amp;($K$7+54)+1,'Данные'!$B:$B,$B$3))</f>
        <v/>
      </c>
      <c r="I113" s="33">
        <f>IF(($K$7+54)&gt;$L$7,"",IFERROR(B113/H113,""))</f>
        <v/>
      </c>
      <c r="J113" s="34">
        <f>IF(($K$7+54)&gt;$L$7,"",IFERROR(H113/E113,""))</f>
        <v/>
      </c>
    </row>
    <row r="114">
      <c r="A114" s="36">
        <f>IF(($K$7+55)&gt;$L$7,"",TEXT(($K$7+55),"DD.MM")&amp;" "&amp;CHOOSE(WEEKDAY(($K$7+55),2),"пн","вт","ср","чт","пт","сб","вс"))</f>
        <v/>
      </c>
      <c r="B114" s="37">
        <f>IF(($K$7+55)&gt;$L$7,"",SUMIFS('Данные'!$C:$C,'Данные'!$A:$A,"&gt;="&amp;($K$7+55),'Данные'!$A:$A,"&lt;"&amp;($K$7+55)+1,'Данные'!$B:$B,$B$3))</f>
        <v/>
      </c>
      <c r="C114" s="37">
        <f>IF(($K$7+55)&gt;$L$7,"",B114*(100+22)/100)</f>
        <v/>
      </c>
      <c r="D114" s="38">
        <f>IF(($K$7+55)&gt;$L$7,"",SUMIFS('Данные'!$D:$D,'Данные'!$A:$A,"&gt;="&amp;($K$7+55),'Данные'!$A:$A,"&lt;"&amp;($K$7+55)+1,'Данные'!$B:$B,$B$3))</f>
        <v/>
      </c>
      <c r="E114" s="38">
        <f>IF(($K$7+55)&gt;$L$7,"",SUMIFS('Данные'!$E:$E,'Данные'!$A:$A,"&gt;="&amp;($K$7+55),'Данные'!$A:$A,"&lt;"&amp;($K$7+55)+1,'Данные'!$B:$B,$B$3))</f>
        <v/>
      </c>
      <c r="F114" s="39">
        <f>IF(($K$7+55)&gt;$L$7,"",IFERROR(E114/D114,""))</f>
        <v/>
      </c>
      <c r="G114" s="40">
        <f>IF(($K$7+55)&gt;$L$7,"",IFERROR(B114/E114,""))</f>
        <v/>
      </c>
      <c r="H114" s="38">
        <f>IF(($K$7+55)&gt;$L$7,"",SUMIFS('Данные'!$F:$F,'Данные'!$A:$A,"&gt;="&amp;($K$7+55),'Данные'!$A:$A,"&lt;"&amp;($K$7+55)+1,'Данные'!$B:$B,$B$3))</f>
        <v/>
      </c>
      <c r="I114" s="40">
        <f>IF(($K$7+55)&gt;$L$7,"",IFERROR(B114/H114,""))</f>
        <v/>
      </c>
      <c r="J114" s="41">
        <f>IF(($K$7+55)&gt;$L$7,"",IFERROR(H114/E114,""))</f>
        <v/>
      </c>
    </row>
    <row r="115">
      <c r="A115" s="29">
        <f>IF(($K$7+56)&gt;$L$7,"",TEXT(($K$7+56),"DD.MM")&amp;" "&amp;CHOOSE(WEEKDAY(($K$7+56),2),"пн","вт","ср","чт","пт","сб","вс"))</f>
        <v/>
      </c>
      <c r="B115" s="30">
        <f>IF(($K$7+56)&gt;$L$7,"",SUMIFS('Данные'!$C:$C,'Данные'!$A:$A,"&gt;="&amp;($K$7+56),'Данные'!$A:$A,"&lt;"&amp;($K$7+56)+1,'Данные'!$B:$B,$B$3))</f>
        <v/>
      </c>
      <c r="C115" s="30">
        <f>IF(($K$7+56)&gt;$L$7,"",B115*(100+22)/100)</f>
        <v/>
      </c>
      <c r="D115" s="31">
        <f>IF(($K$7+56)&gt;$L$7,"",SUMIFS('Данные'!$D:$D,'Данные'!$A:$A,"&gt;="&amp;($K$7+56),'Данные'!$A:$A,"&lt;"&amp;($K$7+56)+1,'Данные'!$B:$B,$B$3))</f>
        <v/>
      </c>
      <c r="E115" s="31">
        <f>IF(($K$7+56)&gt;$L$7,"",SUMIFS('Данные'!$E:$E,'Данные'!$A:$A,"&gt;="&amp;($K$7+56),'Данные'!$A:$A,"&lt;"&amp;($K$7+56)+1,'Данные'!$B:$B,$B$3))</f>
        <v/>
      </c>
      <c r="F115" s="32">
        <f>IF(($K$7+56)&gt;$L$7,"",IFERROR(E115/D115,""))</f>
        <v/>
      </c>
      <c r="G115" s="33">
        <f>IF(($K$7+56)&gt;$L$7,"",IFERROR(B115/E115,""))</f>
        <v/>
      </c>
      <c r="H115" s="31">
        <f>IF(($K$7+56)&gt;$L$7,"",SUMIFS('Данные'!$F:$F,'Данные'!$A:$A,"&gt;="&amp;($K$7+56),'Данные'!$A:$A,"&lt;"&amp;($K$7+56)+1,'Данные'!$B:$B,$B$3))</f>
        <v/>
      </c>
      <c r="I115" s="33">
        <f>IF(($K$7+56)&gt;$L$7,"",IFERROR(B115/H115,""))</f>
        <v/>
      </c>
      <c r="J115" s="34">
        <f>IF(($K$7+56)&gt;$L$7,"",IFERROR(H115/E115,""))</f>
        <v/>
      </c>
    </row>
    <row r="116">
      <c r="A116" s="36">
        <f>IF(($K$7+57)&gt;$L$7,"",TEXT(($K$7+57),"DD.MM")&amp;" "&amp;CHOOSE(WEEKDAY(($K$7+57),2),"пн","вт","ср","чт","пт","сб","вс"))</f>
        <v/>
      </c>
      <c r="B116" s="37">
        <f>IF(($K$7+57)&gt;$L$7,"",SUMIFS('Данные'!$C:$C,'Данные'!$A:$A,"&gt;="&amp;($K$7+57),'Данные'!$A:$A,"&lt;"&amp;($K$7+57)+1,'Данные'!$B:$B,$B$3))</f>
        <v/>
      </c>
      <c r="C116" s="37">
        <f>IF(($K$7+57)&gt;$L$7,"",B116*(100+22)/100)</f>
        <v/>
      </c>
      <c r="D116" s="38">
        <f>IF(($K$7+57)&gt;$L$7,"",SUMIFS('Данные'!$D:$D,'Данные'!$A:$A,"&gt;="&amp;($K$7+57),'Данные'!$A:$A,"&lt;"&amp;($K$7+57)+1,'Данные'!$B:$B,$B$3))</f>
        <v/>
      </c>
      <c r="E116" s="38">
        <f>IF(($K$7+57)&gt;$L$7,"",SUMIFS('Данные'!$E:$E,'Данные'!$A:$A,"&gt;="&amp;($K$7+57),'Данные'!$A:$A,"&lt;"&amp;($K$7+57)+1,'Данные'!$B:$B,$B$3))</f>
        <v/>
      </c>
      <c r="F116" s="39">
        <f>IF(($K$7+57)&gt;$L$7,"",IFERROR(E116/D116,""))</f>
        <v/>
      </c>
      <c r="G116" s="40">
        <f>IF(($K$7+57)&gt;$L$7,"",IFERROR(B116/E116,""))</f>
        <v/>
      </c>
      <c r="H116" s="38">
        <f>IF(($K$7+57)&gt;$L$7,"",SUMIFS('Данные'!$F:$F,'Данные'!$A:$A,"&gt;="&amp;($K$7+57),'Данные'!$A:$A,"&lt;"&amp;($K$7+57)+1,'Данные'!$B:$B,$B$3))</f>
        <v/>
      </c>
      <c r="I116" s="40">
        <f>IF(($K$7+57)&gt;$L$7,"",IFERROR(B116/H116,""))</f>
        <v/>
      </c>
      <c r="J116" s="41">
        <f>IF(($K$7+57)&gt;$L$7,"",IFERROR(H116/E116,""))</f>
        <v/>
      </c>
    </row>
    <row r="117">
      <c r="A117" s="29">
        <f>IF(($K$7+58)&gt;$L$7,"",TEXT(($K$7+58),"DD.MM")&amp;" "&amp;CHOOSE(WEEKDAY(($K$7+58),2),"пн","вт","ср","чт","пт","сб","вс"))</f>
        <v/>
      </c>
      <c r="B117" s="30">
        <f>IF(($K$7+58)&gt;$L$7,"",SUMIFS('Данные'!$C:$C,'Данные'!$A:$A,"&gt;="&amp;($K$7+58),'Данные'!$A:$A,"&lt;"&amp;($K$7+58)+1,'Данные'!$B:$B,$B$3))</f>
        <v/>
      </c>
      <c r="C117" s="30">
        <f>IF(($K$7+58)&gt;$L$7,"",B117*(100+22)/100)</f>
        <v/>
      </c>
      <c r="D117" s="31">
        <f>IF(($K$7+58)&gt;$L$7,"",SUMIFS('Данные'!$D:$D,'Данные'!$A:$A,"&gt;="&amp;($K$7+58),'Данные'!$A:$A,"&lt;"&amp;($K$7+58)+1,'Данные'!$B:$B,$B$3))</f>
        <v/>
      </c>
      <c r="E117" s="31">
        <f>IF(($K$7+58)&gt;$L$7,"",SUMIFS('Данные'!$E:$E,'Данные'!$A:$A,"&gt;="&amp;($K$7+58),'Данные'!$A:$A,"&lt;"&amp;($K$7+58)+1,'Данные'!$B:$B,$B$3))</f>
        <v/>
      </c>
      <c r="F117" s="32">
        <f>IF(($K$7+58)&gt;$L$7,"",IFERROR(E117/D117,""))</f>
        <v/>
      </c>
      <c r="G117" s="33">
        <f>IF(($K$7+58)&gt;$L$7,"",IFERROR(B117/E117,""))</f>
        <v/>
      </c>
      <c r="H117" s="31">
        <f>IF(($K$7+58)&gt;$L$7,"",SUMIFS('Данные'!$F:$F,'Данные'!$A:$A,"&gt;="&amp;($K$7+58),'Данные'!$A:$A,"&lt;"&amp;($K$7+58)+1,'Данные'!$B:$B,$B$3))</f>
        <v/>
      </c>
      <c r="I117" s="33">
        <f>IF(($K$7+58)&gt;$L$7,"",IFERROR(B117/H117,""))</f>
        <v/>
      </c>
      <c r="J117" s="34">
        <f>IF(($K$7+58)&gt;$L$7,"",IFERROR(H117/E117,""))</f>
        <v/>
      </c>
    </row>
    <row r="118">
      <c r="A118" s="36">
        <f>IF(($K$7+59)&gt;$L$7,"",TEXT(($K$7+59),"DD.MM")&amp;" "&amp;CHOOSE(WEEKDAY(($K$7+59),2),"пн","вт","ср","чт","пт","сб","вс"))</f>
        <v/>
      </c>
      <c r="B118" s="37">
        <f>IF(($K$7+59)&gt;$L$7,"",SUMIFS('Данные'!$C:$C,'Данные'!$A:$A,"&gt;="&amp;($K$7+59),'Данные'!$A:$A,"&lt;"&amp;($K$7+59)+1,'Данные'!$B:$B,$B$3))</f>
        <v/>
      </c>
      <c r="C118" s="37">
        <f>IF(($K$7+59)&gt;$L$7,"",B118*(100+22)/100)</f>
        <v/>
      </c>
      <c r="D118" s="38">
        <f>IF(($K$7+59)&gt;$L$7,"",SUMIFS('Данные'!$D:$D,'Данные'!$A:$A,"&gt;="&amp;($K$7+59),'Данные'!$A:$A,"&lt;"&amp;($K$7+59)+1,'Данные'!$B:$B,$B$3))</f>
        <v/>
      </c>
      <c r="E118" s="38">
        <f>IF(($K$7+59)&gt;$L$7,"",SUMIFS('Данные'!$E:$E,'Данные'!$A:$A,"&gt;="&amp;($K$7+59),'Данные'!$A:$A,"&lt;"&amp;($K$7+59)+1,'Данные'!$B:$B,$B$3))</f>
        <v/>
      </c>
      <c r="F118" s="39">
        <f>IF(($K$7+59)&gt;$L$7,"",IFERROR(E118/D118,""))</f>
        <v/>
      </c>
      <c r="G118" s="40">
        <f>IF(($K$7+59)&gt;$L$7,"",IFERROR(B118/E118,""))</f>
        <v/>
      </c>
      <c r="H118" s="38">
        <f>IF(($K$7+59)&gt;$L$7,"",SUMIFS('Данные'!$F:$F,'Данные'!$A:$A,"&gt;="&amp;($K$7+59),'Данные'!$A:$A,"&lt;"&amp;($K$7+59)+1,'Данные'!$B:$B,$B$3))</f>
        <v/>
      </c>
      <c r="I118" s="40">
        <f>IF(($K$7+59)&gt;$L$7,"",IFERROR(B118/H118,""))</f>
        <v/>
      </c>
      <c r="J118" s="41">
        <f>IF(($K$7+59)&gt;$L$7,"",IFERROR(H118/E118,""))</f>
        <v/>
      </c>
    </row>
    <row r="119">
      <c r="A119" s="29">
        <f>IF(($K$7+60)&gt;$L$7,"",TEXT(($K$7+60),"DD.MM")&amp;" "&amp;CHOOSE(WEEKDAY(($K$7+60),2),"пн","вт","ср","чт","пт","сб","вс"))</f>
        <v/>
      </c>
      <c r="B119" s="30">
        <f>IF(($K$7+60)&gt;$L$7,"",SUMIFS('Данные'!$C:$C,'Данные'!$A:$A,"&gt;="&amp;($K$7+60),'Данные'!$A:$A,"&lt;"&amp;($K$7+60)+1,'Данные'!$B:$B,$B$3))</f>
        <v/>
      </c>
      <c r="C119" s="30">
        <f>IF(($K$7+60)&gt;$L$7,"",B119*(100+22)/100)</f>
        <v/>
      </c>
      <c r="D119" s="31">
        <f>IF(($K$7+60)&gt;$L$7,"",SUMIFS('Данные'!$D:$D,'Данные'!$A:$A,"&gt;="&amp;($K$7+60),'Данные'!$A:$A,"&lt;"&amp;($K$7+60)+1,'Данные'!$B:$B,$B$3))</f>
        <v/>
      </c>
      <c r="E119" s="31">
        <f>IF(($K$7+60)&gt;$L$7,"",SUMIFS('Данные'!$E:$E,'Данные'!$A:$A,"&gt;="&amp;($K$7+60),'Данные'!$A:$A,"&lt;"&amp;($K$7+60)+1,'Данные'!$B:$B,$B$3))</f>
        <v/>
      </c>
      <c r="F119" s="32">
        <f>IF(($K$7+60)&gt;$L$7,"",IFERROR(E119/D119,""))</f>
        <v/>
      </c>
      <c r="G119" s="33">
        <f>IF(($K$7+60)&gt;$L$7,"",IFERROR(B119/E119,""))</f>
        <v/>
      </c>
      <c r="H119" s="31">
        <f>IF(($K$7+60)&gt;$L$7,"",SUMIFS('Данные'!$F:$F,'Данные'!$A:$A,"&gt;="&amp;($K$7+60),'Данные'!$A:$A,"&lt;"&amp;($K$7+60)+1,'Данные'!$B:$B,$B$3))</f>
        <v/>
      </c>
      <c r="I119" s="33">
        <f>IF(($K$7+60)&gt;$L$7,"",IFERROR(B119/H119,""))</f>
        <v/>
      </c>
      <c r="J119" s="34">
        <f>IF(($K$7+60)&gt;$L$7,"",IFERROR(H119/E119,""))</f>
        <v/>
      </c>
    </row>
    <row r="120">
      <c r="A120" s="36">
        <f>IF(($K$7+61)&gt;$L$7,"",TEXT(($K$7+61),"DD.MM")&amp;" "&amp;CHOOSE(WEEKDAY(($K$7+61),2),"пн","вт","ср","чт","пт","сб","вс"))</f>
        <v/>
      </c>
      <c r="B120" s="37">
        <f>IF(($K$7+61)&gt;$L$7,"",SUMIFS('Данные'!$C:$C,'Данные'!$A:$A,"&gt;="&amp;($K$7+61),'Данные'!$A:$A,"&lt;"&amp;($K$7+61)+1,'Данные'!$B:$B,$B$3))</f>
        <v/>
      </c>
      <c r="C120" s="37">
        <f>IF(($K$7+61)&gt;$L$7,"",B120*(100+22)/100)</f>
        <v/>
      </c>
      <c r="D120" s="38">
        <f>IF(($K$7+61)&gt;$L$7,"",SUMIFS('Данные'!$D:$D,'Данные'!$A:$A,"&gt;="&amp;($K$7+61),'Данные'!$A:$A,"&lt;"&amp;($K$7+61)+1,'Данные'!$B:$B,$B$3))</f>
        <v/>
      </c>
      <c r="E120" s="38">
        <f>IF(($K$7+61)&gt;$L$7,"",SUMIFS('Данные'!$E:$E,'Данные'!$A:$A,"&gt;="&amp;($K$7+61),'Данные'!$A:$A,"&lt;"&amp;($K$7+61)+1,'Данные'!$B:$B,$B$3))</f>
        <v/>
      </c>
      <c r="F120" s="39">
        <f>IF(($K$7+61)&gt;$L$7,"",IFERROR(E120/D120,""))</f>
        <v/>
      </c>
      <c r="G120" s="40">
        <f>IF(($K$7+61)&gt;$L$7,"",IFERROR(B120/E120,""))</f>
        <v/>
      </c>
      <c r="H120" s="38">
        <f>IF(($K$7+61)&gt;$L$7,"",SUMIFS('Данные'!$F:$F,'Данные'!$A:$A,"&gt;="&amp;($K$7+61),'Данные'!$A:$A,"&lt;"&amp;($K$7+61)+1,'Данные'!$B:$B,$B$3))</f>
        <v/>
      </c>
      <c r="I120" s="40">
        <f>IF(($K$7+61)&gt;$L$7,"",IFERROR(B120/H120,""))</f>
        <v/>
      </c>
      <c r="J120" s="41">
        <f>IF(($K$7+61)&gt;$L$7,"",IFERROR(H120/E120,""))</f>
        <v/>
      </c>
    </row>
    <row r="121">
      <c r="A121" s="29">
        <f>IF(($K$7+62)&gt;$L$7,"",TEXT(($K$7+62),"DD.MM")&amp;" "&amp;CHOOSE(WEEKDAY(($K$7+62),2),"пн","вт","ср","чт","пт","сб","вс"))</f>
        <v/>
      </c>
      <c r="B121" s="30">
        <f>IF(($K$7+62)&gt;$L$7,"",SUMIFS('Данные'!$C:$C,'Данные'!$A:$A,"&gt;="&amp;($K$7+62),'Данные'!$A:$A,"&lt;"&amp;($K$7+62)+1,'Данные'!$B:$B,$B$3))</f>
        <v/>
      </c>
      <c r="C121" s="30">
        <f>IF(($K$7+62)&gt;$L$7,"",B121*(100+22)/100)</f>
        <v/>
      </c>
      <c r="D121" s="31">
        <f>IF(($K$7+62)&gt;$L$7,"",SUMIFS('Данные'!$D:$D,'Данные'!$A:$A,"&gt;="&amp;($K$7+62),'Данные'!$A:$A,"&lt;"&amp;($K$7+62)+1,'Данные'!$B:$B,$B$3))</f>
        <v/>
      </c>
      <c r="E121" s="31">
        <f>IF(($K$7+62)&gt;$L$7,"",SUMIFS('Данные'!$E:$E,'Данные'!$A:$A,"&gt;="&amp;($K$7+62),'Данные'!$A:$A,"&lt;"&amp;($K$7+62)+1,'Данные'!$B:$B,$B$3))</f>
        <v/>
      </c>
      <c r="F121" s="32">
        <f>IF(($K$7+62)&gt;$L$7,"",IFERROR(E121/D121,""))</f>
        <v/>
      </c>
      <c r="G121" s="33">
        <f>IF(($K$7+62)&gt;$L$7,"",IFERROR(B121/E121,""))</f>
        <v/>
      </c>
      <c r="H121" s="31">
        <f>IF(($K$7+62)&gt;$L$7,"",SUMIFS('Данные'!$F:$F,'Данные'!$A:$A,"&gt;="&amp;($K$7+62),'Данные'!$A:$A,"&lt;"&amp;($K$7+62)+1,'Данные'!$B:$B,$B$3))</f>
        <v/>
      </c>
      <c r="I121" s="33">
        <f>IF(($K$7+62)&gt;$L$7,"",IFERROR(B121/H121,""))</f>
        <v/>
      </c>
      <c r="J121" s="34">
        <f>IF(($K$7+62)&gt;$L$7,"",IFERROR(H121/E121,""))</f>
        <v/>
      </c>
    </row>
    <row r="122">
      <c r="A122" s="36">
        <f>IF(($K$7+63)&gt;$L$7,"",TEXT(($K$7+63),"DD.MM")&amp;" "&amp;CHOOSE(WEEKDAY(($K$7+63),2),"пн","вт","ср","чт","пт","сб","вс"))</f>
        <v/>
      </c>
      <c r="B122" s="37">
        <f>IF(($K$7+63)&gt;$L$7,"",SUMIFS('Данные'!$C:$C,'Данные'!$A:$A,"&gt;="&amp;($K$7+63),'Данные'!$A:$A,"&lt;"&amp;($K$7+63)+1,'Данные'!$B:$B,$B$3))</f>
        <v/>
      </c>
      <c r="C122" s="37">
        <f>IF(($K$7+63)&gt;$L$7,"",B122*(100+22)/100)</f>
        <v/>
      </c>
      <c r="D122" s="38">
        <f>IF(($K$7+63)&gt;$L$7,"",SUMIFS('Данные'!$D:$D,'Данные'!$A:$A,"&gt;="&amp;($K$7+63),'Данные'!$A:$A,"&lt;"&amp;($K$7+63)+1,'Данные'!$B:$B,$B$3))</f>
        <v/>
      </c>
      <c r="E122" s="38">
        <f>IF(($K$7+63)&gt;$L$7,"",SUMIFS('Данные'!$E:$E,'Данные'!$A:$A,"&gt;="&amp;($K$7+63),'Данные'!$A:$A,"&lt;"&amp;($K$7+63)+1,'Данные'!$B:$B,$B$3))</f>
        <v/>
      </c>
      <c r="F122" s="39">
        <f>IF(($K$7+63)&gt;$L$7,"",IFERROR(E122/D122,""))</f>
        <v/>
      </c>
      <c r="G122" s="40">
        <f>IF(($K$7+63)&gt;$L$7,"",IFERROR(B122/E122,""))</f>
        <v/>
      </c>
      <c r="H122" s="38">
        <f>IF(($K$7+63)&gt;$L$7,"",SUMIFS('Данные'!$F:$F,'Данные'!$A:$A,"&gt;="&amp;($K$7+63),'Данные'!$A:$A,"&lt;"&amp;($K$7+63)+1,'Данные'!$B:$B,$B$3))</f>
        <v/>
      </c>
      <c r="I122" s="40">
        <f>IF(($K$7+63)&gt;$L$7,"",IFERROR(B122/H122,""))</f>
        <v/>
      </c>
      <c r="J122" s="41">
        <f>IF(($K$7+63)&gt;$L$7,"",IFERROR(H122/E122,""))</f>
        <v/>
      </c>
    </row>
    <row r="123">
      <c r="A123" s="29">
        <f>IF(($K$7+64)&gt;$L$7,"",TEXT(($K$7+64),"DD.MM")&amp;" "&amp;CHOOSE(WEEKDAY(($K$7+64),2),"пн","вт","ср","чт","пт","сб","вс"))</f>
        <v/>
      </c>
      <c r="B123" s="30">
        <f>IF(($K$7+64)&gt;$L$7,"",SUMIFS('Данные'!$C:$C,'Данные'!$A:$A,"&gt;="&amp;($K$7+64),'Данные'!$A:$A,"&lt;"&amp;($K$7+64)+1,'Данные'!$B:$B,$B$3))</f>
        <v/>
      </c>
      <c r="C123" s="30">
        <f>IF(($K$7+64)&gt;$L$7,"",B123*(100+22)/100)</f>
        <v/>
      </c>
      <c r="D123" s="31">
        <f>IF(($K$7+64)&gt;$L$7,"",SUMIFS('Данные'!$D:$D,'Данные'!$A:$A,"&gt;="&amp;($K$7+64),'Данные'!$A:$A,"&lt;"&amp;($K$7+64)+1,'Данные'!$B:$B,$B$3))</f>
        <v/>
      </c>
      <c r="E123" s="31">
        <f>IF(($K$7+64)&gt;$L$7,"",SUMIFS('Данные'!$E:$E,'Данные'!$A:$A,"&gt;="&amp;($K$7+64),'Данные'!$A:$A,"&lt;"&amp;($K$7+64)+1,'Данные'!$B:$B,$B$3))</f>
        <v/>
      </c>
      <c r="F123" s="32">
        <f>IF(($K$7+64)&gt;$L$7,"",IFERROR(E123/D123,""))</f>
        <v/>
      </c>
      <c r="G123" s="33">
        <f>IF(($K$7+64)&gt;$L$7,"",IFERROR(B123/E123,""))</f>
        <v/>
      </c>
      <c r="H123" s="31">
        <f>IF(($K$7+64)&gt;$L$7,"",SUMIFS('Данные'!$F:$F,'Данные'!$A:$A,"&gt;="&amp;($K$7+64),'Данные'!$A:$A,"&lt;"&amp;($K$7+64)+1,'Данные'!$B:$B,$B$3))</f>
        <v/>
      </c>
      <c r="I123" s="33">
        <f>IF(($K$7+64)&gt;$L$7,"",IFERROR(B123/H123,""))</f>
        <v/>
      </c>
      <c r="J123" s="34">
        <f>IF(($K$7+64)&gt;$L$7,"",IFERROR(H123/E123,""))</f>
        <v/>
      </c>
    </row>
    <row r="124">
      <c r="A124" s="36">
        <f>IF(($K$7+65)&gt;$L$7,"",TEXT(($K$7+65),"DD.MM")&amp;" "&amp;CHOOSE(WEEKDAY(($K$7+65),2),"пн","вт","ср","чт","пт","сб","вс"))</f>
        <v/>
      </c>
      <c r="B124" s="37">
        <f>IF(($K$7+65)&gt;$L$7,"",SUMIFS('Данные'!$C:$C,'Данные'!$A:$A,"&gt;="&amp;($K$7+65),'Данные'!$A:$A,"&lt;"&amp;($K$7+65)+1,'Данные'!$B:$B,$B$3))</f>
        <v/>
      </c>
      <c r="C124" s="37">
        <f>IF(($K$7+65)&gt;$L$7,"",B124*(100+22)/100)</f>
        <v/>
      </c>
      <c r="D124" s="38">
        <f>IF(($K$7+65)&gt;$L$7,"",SUMIFS('Данные'!$D:$D,'Данные'!$A:$A,"&gt;="&amp;($K$7+65),'Данные'!$A:$A,"&lt;"&amp;($K$7+65)+1,'Данные'!$B:$B,$B$3))</f>
        <v/>
      </c>
      <c r="E124" s="38">
        <f>IF(($K$7+65)&gt;$L$7,"",SUMIFS('Данные'!$E:$E,'Данные'!$A:$A,"&gt;="&amp;($K$7+65),'Данные'!$A:$A,"&lt;"&amp;($K$7+65)+1,'Данные'!$B:$B,$B$3))</f>
        <v/>
      </c>
      <c r="F124" s="39">
        <f>IF(($K$7+65)&gt;$L$7,"",IFERROR(E124/D124,""))</f>
        <v/>
      </c>
      <c r="G124" s="40">
        <f>IF(($K$7+65)&gt;$L$7,"",IFERROR(B124/E124,""))</f>
        <v/>
      </c>
      <c r="H124" s="38">
        <f>IF(($K$7+65)&gt;$L$7,"",SUMIFS('Данные'!$F:$F,'Данные'!$A:$A,"&gt;="&amp;($K$7+65),'Данные'!$A:$A,"&lt;"&amp;($K$7+65)+1,'Данные'!$B:$B,$B$3))</f>
        <v/>
      </c>
      <c r="I124" s="40">
        <f>IF(($K$7+65)&gt;$L$7,"",IFERROR(B124/H124,""))</f>
        <v/>
      </c>
      <c r="J124" s="41">
        <f>IF(($K$7+65)&gt;$L$7,"",IFERROR(H124/E124,""))</f>
        <v/>
      </c>
    </row>
    <row r="125">
      <c r="A125" s="29">
        <f>IF(($K$7+66)&gt;$L$7,"",TEXT(($K$7+66),"DD.MM")&amp;" "&amp;CHOOSE(WEEKDAY(($K$7+66),2),"пн","вт","ср","чт","пт","сб","вс"))</f>
        <v/>
      </c>
      <c r="B125" s="30">
        <f>IF(($K$7+66)&gt;$L$7,"",SUMIFS('Данные'!$C:$C,'Данные'!$A:$A,"&gt;="&amp;($K$7+66),'Данные'!$A:$A,"&lt;"&amp;($K$7+66)+1,'Данные'!$B:$B,$B$3))</f>
        <v/>
      </c>
      <c r="C125" s="30">
        <f>IF(($K$7+66)&gt;$L$7,"",B125*(100+22)/100)</f>
        <v/>
      </c>
      <c r="D125" s="31">
        <f>IF(($K$7+66)&gt;$L$7,"",SUMIFS('Данные'!$D:$D,'Данные'!$A:$A,"&gt;="&amp;($K$7+66),'Данные'!$A:$A,"&lt;"&amp;($K$7+66)+1,'Данные'!$B:$B,$B$3))</f>
        <v/>
      </c>
      <c r="E125" s="31">
        <f>IF(($K$7+66)&gt;$L$7,"",SUMIFS('Данные'!$E:$E,'Данные'!$A:$A,"&gt;="&amp;($K$7+66),'Данные'!$A:$A,"&lt;"&amp;($K$7+66)+1,'Данные'!$B:$B,$B$3))</f>
        <v/>
      </c>
      <c r="F125" s="32">
        <f>IF(($K$7+66)&gt;$L$7,"",IFERROR(E125/D125,""))</f>
        <v/>
      </c>
      <c r="G125" s="33">
        <f>IF(($K$7+66)&gt;$L$7,"",IFERROR(B125/E125,""))</f>
        <v/>
      </c>
      <c r="H125" s="31">
        <f>IF(($K$7+66)&gt;$L$7,"",SUMIFS('Данные'!$F:$F,'Данные'!$A:$A,"&gt;="&amp;($K$7+66),'Данные'!$A:$A,"&lt;"&amp;($K$7+66)+1,'Данные'!$B:$B,$B$3))</f>
        <v/>
      </c>
      <c r="I125" s="33">
        <f>IF(($K$7+66)&gt;$L$7,"",IFERROR(B125/H125,""))</f>
        <v/>
      </c>
      <c r="J125" s="34">
        <f>IF(($K$7+66)&gt;$L$7,"",IFERROR(H125/E125,""))</f>
        <v/>
      </c>
    </row>
    <row r="126">
      <c r="A126" s="36">
        <f>IF(($K$7+67)&gt;$L$7,"",TEXT(($K$7+67),"DD.MM")&amp;" "&amp;CHOOSE(WEEKDAY(($K$7+67),2),"пн","вт","ср","чт","пт","сб","вс"))</f>
        <v/>
      </c>
      <c r="B126" s="37">
        <f>IF(($K$7+67)&gt;$L$7,"",SUMIFS('Данные'!$C:$C,'Данные'!$A:$A,"&gt;="&amp;($K$7+67),'Данные'!$A:$A,"&lt;"&amp;($K$7+67)+1,'Данные'!$B:$B,$B$3))</f>
        <v/>
      </c>
      <c r="C126" s="37">
        <f>IF(($K$7+67)&gt;$L$7,"",B126*(100+22)/100)</f>
        <v/>
      </c>
      <c r="D126" s="38">
        <f>IF(($K$7+67)&gt;$L$7,"",SUMIFS('Данные'!$D:$D,'Данные'!$A:$A,"&gt;="&amp;($K$7+67),'Данные'!$A:$A,"&lt;"&amp;($K$7+67)+1,'Данные'!$B:$B,$B$3))</f>
        <v/>
      </c>
      <c r="E126" s="38">
        <f>IF(($K$7+67)&gt;$L$7,"",SUMIFS('Данные'!$E:$E,'Данные'!$A:$A,"&gt;="&amp;($K$7+67),'Данные'!$A:$A,"&lt;"&amp;($K$7+67)+1,'Данные'!$B:$B,$B$3))</f>
        <v/>
      </c>
      <c r="F126" s="39">
        <f>IF(($K$7+67)&gt;$L$7,"",IFERROR(E126/D126,""))</f>
        <v/>
      </c>
      <c r="G126" s="40">
        <f>IF(($K$7+67)&gt;$L$7,"",IFERROR(B126/E126,""))</f>
        <v/>
      </c>
      <c r="H126" s="38">
        <f>IF(($K$7+67)&gt;$L$7,"",SUMIFS('Данные'!$F:$F,'Данные'!$A:$A,"&gt;="&amp;($K$7+67),'Данные'!$A:$A,"&lt;"&amp;($K$7+67)+1,'Данные'!$B:$B,$B$3))</f>
        <v/>
      </c>
      <c r="I126" s="40">
        <f>IF(($K$7+67)&gt;$L$7,"",IFERROR(B126/H126,""))</f>
        <v/>
      </c>
      <c r="J126" s="41">
        <f>IF(($K$7+67)&gt;$L$7,"",IFERROR(H126/E126,""))</f>
        <v/>
      </c>
    </row>
    <row r="127">
      <c r="A127" s="29">
        <f>IF(($K$7+68)&gt;$L$7,"",TEXT(($K$7+68),"DD.MM")&amp;" "&amp;CHOOSE(WEEKDAY(($K$7+68),2),"пн","вт","ср","чт","пт","сб","вс"))</f>
        <v/>
      </c>
      <c r="B127" s="30">
        <f>IF(($K$7+68)&gt;$L$7,"",SUMIFS('Данные'!$C:$C,'Данные'!$A:$A,"&gt;="&amp;($K$7+68),'Данные'!$A:$A,"&lt;"&amp;($K$7+68)+1,'Данные'!$B:$B,$B$3))</f>
        <v/>
      </c>
      <c r="C127" s="30">
        <f>IF(($K$7+68)&gt;$L$7,"",B127*(100+22)/100)</f>
        <v/>
      </c>
      <c r="D127" s="31">
        <f>IF(($K$7+68)&gt;$L$7,"",SUMIFS('Данные'!$D:$D,'Данные'!$A:$A,"&gt;="&amp;($K$7+68),'Данные'!$A:$A,"&lt;"&amp;($K$7+68)+1,'Данные'!$B:$B,$B$3))</f>
        <v/>
      </c>
      <c r="E127" s="31">
        <f>IF(($K$7+68)&gt;$L$7,"",SUMIFS('Данные'!$E:$E,'Данные'!$A:$A,"&gt;="&amp;($K$7+68),'Данные'!$A:$A,"&lt;"&amp;($K$7+68)+1,'Данные'!$B:$B,$B$3))</f>
        <v/>
      </c>
      <c r="F127" s="32">
        <f>IF(($K$7+68)&gt;$L$7,"",IFERROR(E127/D127,""))</f>
        <v/>
      </c>
      <c r="G127" s="33">
        <f>IF(($K$7+68)&gt;$L$7,"",IFERROR(B127/E127,""))</f>
        <v/>
      </c>
      <c r="H127" s="31">
        <f>IF(($K$7+68)&gt;$L$7,"",SUMIFS('Данные'!$F:$F,'Данные'!$A:$A,"&gt;="&amp;($K$7+68),'Данные'!$A:$A,"&lt;"&amp;($K$7+68)+1,'Данные'!$B:$B,$B$3))</f>
        <v/>
      </c>
      <c r="I127" s="33">
        <f>IF(($K$7+68)&gt;$L$7,"",IFERROR(B127/H127,""))</f>
        <v/>
      </c>
      <c r="J127" s="34">
        <f>IF(($K$7+68)&gt;$L$7,"",IFERROR(H127/E127,""))</f>
        <v/>
      </c>
    </row>
    <row r="128">
      <c r="A128" s="36">
        <f>IF(($K$7+69)&gt;$L$7,"",TEXT(($K$7+69),"DD.MM")&amp;" "&amp;CHOOSE(WEEKDAY(($K$7+69),2),"пн","вт","ср","чт","пт","сб","вс"))</f>
        <v/>
      </c>
      <c r="B128" s="37">
        <f>IF(($K$7+69)&gt;$L$7,"",SUMIFS('Данные'!$C:$C,'Данные'!$A:$A,"&gt;="&amp;($K$7+69),'Данные'!$A:$A,"&lt;"&amp;($K$7+69)+1,'Данные'!$B:$B,$B$3))</f>
        <v/>
      </c>
      <c r="C128" s="37">
        <f>IF(($K$7+69)&gt;$L$7,"",B128*(100+22)/100)</f>
        <v/>
      </c>
      <c r="D128" s="38">
        <f>IF(($K$7+69)&gt;$L$7,"",SUMIFS('Данные'!$D:$D,'Данные'!$A:$A,"&gt;="&amp;($K$7+69),'Данные'!$A:$A,"&lt;"&amp;($K$7+69)+1,'Данные'!$B:$B,$B$3))</f>
        <v/>
      </c>
      <c r="E128" s="38">
        <f>IF(($K$7+69)&gt;$L$7,"",SUMIFS('Данные'!$E:$E,'Данные'!$A:$A,"&gt;="&amp;($K$7+69),'Данные'!$A:$A,"&lt;"&amp;($K$7+69)+1,'Данные'!$B:$B,$B$3))</f>
        <v/>
      </c>
      <c r="F128" s="39">
        <f>IF(($K$7+69)&gt;$L$7,"",IFERROR(E128/D128,""))</f>
        <v/>
      </c>
      <c r="G128" s="40">
        <f>IF(($K$7+69)&gt;$L$7,"",IFERROR(B128/E128,""))</f>
        <v/>
      </c>
      <c r="H128" s="38">
        <f>IF(($K$7+69)&gt;$L$7,"",SUMIFS('Данные'!$F:$F,'Данные'!$A:$A,"&gt;="&amp;($K$7+69),'Данные'!$A:$A,"&lt;"&amp;($K$7+69)+1,'Данные'!$B:$B,$B$3))</f>
        <v/>
      </c>
      <c r="I128" s="40">
        <f>IF(($K$7+69)&gt;$L$7,"",IFERROR(B128/H128,""))</f>
        <v/>
      </c>
      <c r="J128" s="41">
        <f>IF(($K$7+69)&gt;$L$7,"",IFERROR(H128/E128,""))</f>
        <v/>
      </c>
    </row>
    <row r="129">
      <c r="A129" s="29">
        <f>IF(($K$7+70)&gt;$L$7,"",TEXT(($K$7+70),"DD.MM")&amp;" "&amp;CHOOSE(WEEKDAY(($K$7+70),2),"пн","вт","ср","чт","пт","сб","вс"))</f>
        <v/>
      </c>
      <c r="B129" s="30">
        <f>IF(($K$7+70)&gt;$L$7,"",SUMIFS('Данные'!$C:$C,'Данные'!$A:$A,"&gt;="&amp;($K$7+70),'Данные'!$A:$A,"&lt;"&amp;($K$7+70)+1,'Данные'!$B:$B,$B$3))</f>
        <v/>
      </c>
      <c r="C129" s="30">
        <f>IF(($K$7+70)&gt;$L$7,"",B129*(100+22)/100)</f>
        <v/>
      </c>
      <c r="D129" s="31">
        <f>IF(($K$7+70)&gt;$L$7,"",SUMIFS('Данные'!$D:$D,'Данные'!$A:$A,"&gt;="&amp;($K$7+70),'Данные'!$A:$A,"&lt;"&amp;($K$7+70)+1,'Данные'!$B:$B,$B$3))</f>
        <v/>
      </c>
      <c r="E129" s="31">
        <f>IF(($K$7+70)&gt;$L$7,"",SUMIFS('Данные'!$E:$E,'Данные'!$A:$A,"&gt;="&amp;($K$7+70),'Данные'!$A:$A,"&lt;"&amp;($K$7+70)+1,'Данные'!$B:$B,$B$3))</f>
        <v/>
      </c>
      <c r="F129" s="32">
        <f>IF(($K$7+70)&gt;$L$7,"",IFERROR(E129/D129,""))</f>
        <v/>
      </c>
      <c r="G129" s="33">
        <f>IF(($K$7+70)&gt;$L$7,"",IFERROR(B129/E129,""))</f>
        <v/>
      </c>
      <c r="H129" s="31">
        <f>IF(($K$7+70)&gt;$L$7,"",SUMIFS('Данные'!$F:$F,'Данные'!$A:$A,"&gt;="&amp;($K$7+70),'Данные'!$A:$A,"&lt;"&amp;($K$7+70)+1,'Данные'!$B:$B,$B$3))</f>
        <v/>
      </c>
      <c r="I129" s="33">
        <f>IF(($K$7+70)&gt;$L$7,"",IFERROR(B129/H129,""))</f>
        <v/>
      </c>
      <c r="J129" s="34">
        <f>IF(($K$7+70)&gt;$L$7,"",IFERROR(H129/E129,""))</f>
        <v/>
      </c>
    </row>
    <row r="130">
      <c r="A130" s="36">
        <f>IF(($K$7+71)&gt;$L$7,"",TEXT(($K$7+71),"DD.MM")&amp;" "&amp;CHOOSE(WEEKDAY(($K$7+71),2),"пн","вт","ср","чт","пт","сб","вс"))</f>
        <v/>
      </c>
      <c r="B130" s="37">
        <f>IF(($K$7+71)&gt;$L$7,"",SUMIFS('Данные'!$C:$C,'Данные'!$A:$A,"&gt;="&amp;($K$7+71),'Данные'!$A:$A,"&lt;"&amp;($K$7+71)+1,'Данные'!$B:$B,$B$3))</f>
        <v/>
      </c>
      <c r="C130" s="37">
        <f>IF(($K$7+71)&gt;$L$7,"",B130*(100+22)/100)</f>
        <v/>
      </c>
      <c r="D130" s="38">
        <f>IF(($K$7+71)&gt;$L$7,"",SUMIFS('Данные'!$D:$D,'Данные'!$A:$A,"&gt;="&amp;($K$7+71),'Данные'!$A:$A,"&lt;"&amp;($K$7+71)+1,'Данные'!$B:$B,$B$3))</f>
        <v/>
      </c>
      <c r="E130" s="38">
        <f>IF(($K$7+71)&gt;$L$7,"",SUMIFS('Данные'!$E:$E,'Данные'!$A:$A,"&gt;="&amp;($K$7+71),'Данные'!$A:$A,"&lt;"&amp;($K$7+71)+1,'Данные'!$B:$B,$B$3))</f>
        <v/>
      </c>
      <c r="F130" s="39">
        <f>IF(($K$7+71)&gt;$L$7,"",IFERROR(E130/D130,""))</f>
        <v/>
      </c>
      <c r="G130" s="40">
        <f>IF(($K$7+71)&gt;$L$7,"",IFERROR(B130/E130,""))</f>
        <v/>
      </c>
      <c r="H130" s="38">
        <f>IF(($K$7+71)&gt;$L$7,"",SUMIFS('Данные'!$F:$F,'Данные'!$A:$A,"&gt;="&amp;($K$7+71),'Данные'!$A:$A,"&lt;"&amp;($K$7+71)+1,'Данные'!$B:$B,$B$3))</f>
        <v/>
      </c>
      <c r="I130" s="40">
        <f>IF(($K$7+71)&gt;$L$7,"",IFERROR(B130/H130,""))</f>
        <v/>
      </c>
      <c r="J130" s="41">
        <f>IF(($K$7+71)&gt;$L$7,"",IFERROR(H130/E130,""))</f>
        <v/>
      </c>
    </row>
    <row r="131">
      <c r="A131" s="29">
        <f>IF(($K$7+72)&gt;$L$7,"",TEXT(($K$7+72),"DD.MM")&amp;" "&amp;CHOOSE(WEEKDAY(($K$7+72),2),"пн","вт","ср","чт","пт","сб","вс"))</f>
        <v/>
      </c>
      <c r="B131" s="30">
        <f>IF(($K$7+72)&gt;$L$7,"",SUMIFS('Данные'!$C:$C,'Данные'!$A:$A,"&gt;="&amp;($K$7+72),'Данные'!$A:$A,"&lt;"&amp;($K$7+72)+1,'Данные'!$B:$B,$B$3))</f>
        <v/>
      </c>
      <c r="C131" s="30">
        <f>IF(($K$7+72)&gt;$L$7,"",B131*(100+22)/100)</f>
        <v/>
      </c>
      <c r="D131" s="31">
        <f>IF(($K$7+72)&gt;$L$7,"",SUMIFS('Данные'!$D:$D,'Данные'!$A:$A,"&gt;="&amp;($K$7+72),'Данные'!$A:$A,"&lt;"&amp;($K$7+72)+1,'Данные'!$B:$B,$B$3))</f>
        <v/>
      </c>
      <c r="E131" s="31">
        <f>IF(($K$7+72)&gt;$L$7,"",SUMIFS('Данные'!$E:$E,'Данные'!$A:$A,"&gt;="&amp;($K$7+72),'Данные'!$A:$A,"&lt;"&amp;($K$7+72)+1,'Данные'!$B:$B,$B$3))</f>
        <v/>
      </c>
      <c r="F131" s="32">
        <f>IF(($K$7+72)&gt;$L$7,"",IFERROR(E131/D131,""))</f>
        <v/>
      </c>
      <c r="G131" s="33">
        <f>IF(($K$7+72)&gt;$L$7,"",IFERROR(B131/E131,""))</f>
        <v/>
      </c>
      <c r="H131" s="31">
        <f>IF(($K$7+72)&gt;$L$7,"",SUMIFS('Данные'!$F:$F,'Данные'!$A:$A,"&gt;="&amp;($K$7+72),'Данные'!$A:$A,"&lt;"&amp;($K$7+72)+1,'Данные'!$B:$B,$B$3))</f>
        <v/>
      </c>
      <c r="I131" s="33">
        <f>IF(($K$7+72)&gt;$L$7,"",IFERROR(B131/H131,""))</f>
        <v/>
      </c>
      <c r="J131" s="34">
        <f>IF(($K$7+72)&gt;$L$7,"",IFERROR(H131/E131,""))</f>
        <v/>
      </c>
    </row>
    <row r="132">
      <c r="A132" s="36">
        <f>IF(($K$7+73)&gt;$L$7,"",TEXT(($K$7+73),"DD.MM")&amp;" "&amp;CHOOSE(WEEKDAY(($K$7+73),2),"пн","вт","ср","чт","пт","сб","вс"))</f>
        <v/>
      </c>
      <c r="B132" s="37">
        <f>IF(($K$7+73)&gt;$L$7,"",SUMIFS('Данные'!$C:$C,'Данные'!$A:$A,"&gt;="&amp;($K$7+73),'Данные'!$A:$A,"&lt;"&amp;($K$7+73)+1,'Данные'!$B:$B,$B$3))</f>
        <v/>
      </c>
      <c r="C132" s="37">
        <f>IF(($K$7+73)&gt;$L$7,"",B132*(100+22)/100)</f>
        <v/>
      </c>
      <c r="D132" s="38">
        <f>IF(($K$7+73)&gt;$L$7,"",SUMIFS('Данные'!$D:$D,'Данные'!$A:$A,"&gt;="&amp;($K$7+73),'Данные'!$A:$A,"&lt;"&amp;($K$7+73)+1,'Данные'!$B:$B,$B$3))</f>
        <v/>
      </c>
      <c r="E132" s="38">
        <f>IF(($K$7+73)&gt;$L$7,"",SUMIFS('Данные'!$E:$E,'Данные'!$A:$A,"&gt;="&amp;($K$7+73),'Данные'!$A:$A,"&lt;"&amp;($K$7+73)+1,'Данные'!$B:$B,$B$3))</f>
        <v/>
      </c>
      <c r="F132" s="39">
        <f>IF(($K$7+73)&gt;$L$7,"",IFERROR(E132/D132,""))</f>
        <v/>
      </c>
      <c r="G132" s="40">
        <f>IF(($K$7+73)&gt;$L$7,"",IFERROR(B132/E132,""))</f>
        <v/>
      </c>
      <c r="H132" s="38">
        <f>IF(($K$7+73)&gt;$L$7,"",SUMIFS('Данные'!$F:$F,'Данные'!$A:$A,"&gt;="&amp;($K$7+73),'Данные'!$A:$A,"&lt;"&amp;($K$7+73)+1,'Данные'!$B:$B,$B$3))</f>
        <v/>
      </c>
      <c r="I132" s="40">
        <f>IF(($K$7+73)&gt;$L$7,"",IFERROR(B132/H132,""))</f>
        <v/>
      </c>
      <c r="J132" s="41">
        <f>IF(($K$7+73)&gt;$L$7,"",IFERROR(H132/E132,""))</f>
        <v/>
      </c>
    </row>
    <row r="133">
      <c r="A133" s="29">
        <f>IF(($K$7+74)&gt;$L$7,"",TEXT(($K$7+74),"DD.MM")&amp;" "&amp;CHOOSE(WEEKDAY(($K$7+74),2),"пн","вт","ср","чт","пт","сб","вс"))</f>
        <v/>
      </c>
      <c r="B133" s="30">
        <f>IF(($K$7+74)&gt;$L$7,"",SUMIFS('Данные'!$C:$C,'Данные'!$A:$A,"&gt;="&amp;($K$7+74),'Данные'!$A:$A,"&lt;"&amp;($K$7+74)+1,'Данные'!$B:$B,$B$3))</f>
        <v/>
      </c>
      <c r="C133" s="30">
        <f>IF(($K$7+74)&gt;$L$7,"",B133*(100+22)/100)</f>
        <v/>
      </c>
      <c r="D133" s="31">
        <f>IF(($K$7+74)&gt;$L$7,"",SUMIFS('Данные'!$D:$D,'Данные'!$A:$A,"&gt;="&amp;($K$7+74),'Данные'!$A:$A,"&lt;"&amp;($K$7+74)+1,'Данные'!$B:$B,$B$3))</f>
        <v/>
      </c>
      <c r="E133" s="31">
        <f>IF(($K$7+74)&gt;$L$7,"",SUMIFS('Данные'!$E:$E,'Данные'!$A:$A,"&gt;="&amp;($K$7+74),'Данные'!$A:$A,"&lt;"&amp;($K$7+74)+1,'Данные'!$B:$B,$B$3))</f>
        <v/>
      </c>
      <c r="F133" s="32">
        <f>IF(($K$7+74)&gt;$L$7,"",IFERROR(E133/D133,""))</f>
        <v/>
      </c>
      <c r="G133" s="33">
        <f>IF(($K$7+74)&gt;$L$7,"",IFERROR(B133/E133,""))</f>
        <v/>
      </c>
      <c r="H133" s="31">
        <f>IF(($K$7+74)&gt;$L$7,"",SUMIFS('Данные'!$F:$F,'Данные'!$A:$A,"&gt;="&amp;($K$7+74),'Данные'!$A:$A,"&lt;"&amp;($K$7+74)+1,'Данные'!$B:$B,$B$3))</f>
        <v/>
      </c>
      <c r="I133" s="33">
        <f>IF(($K$7+74)&gt;$L$7,"",IFERROR(B133/H133,""))</f>
        <v/>
      </c>
      <c r="J133" s="34">
        <f>IF(($K$7+74)&gt;$L$7,"",IFERROR(H133/E133,""))</f>
        <v/>
      </c>
    </row>
    <row r="134">
      <c r="A134" s="36">
        <f>IF(($K$7+75)&gt;$L$7,"",TEXT(($K$7+75),"DD.MM")&amp;" "&amp;CHOOSE(WEEKDAY(($K$7+75),2),"пн","вт","ср","чт","пт","сб","вс"))</f>
        <v/>
      </c>
      <c r="B134" s="37">
        <f>IF(($K$7+75)&gt;$L$7,"",SUMIFS('Данные'!$C:$C,'Данные'!$A:$A,"&gt;="&amp;($K$7+75),'Данные'!$A:$A,"&lt;"&amp;($K$7+75)+1,'Данные'!$B:$B,$B$3))</f>
        <v/>
      </c>
      <c r="C134" s="37">
        <f>IF(($K$7+75)&gt;$L$7,"",B134*(100+22)/100)</f>
        <v/>
      </c>
      <c r="D134" s="38">
        <f>IF(($K$7+75)&gt;$L$7,"",SUMIFS('Данные'!$D:$D,'Данные'!$A:$A,"&gt;="&amp;($K$7+75),'Данные'!$A:$A,"&lt;"&amp;($K$7+75)+1,'Данные'!$B:$B,$B$3))</f>
        <v/>
      </c>
      <c r="E134" s="38">
        <f>IF(($K$7+75)&gt;$L$7,"",SUMIFS('Данные'!$E:$E,'Данные'!$A:$A,"&gt;="&amp;($K$7+75),'Данные'!$A:$A,"&lt;"&amp;($K$7+75)+1,'Данные'!$B:$B,$B$3))</f>
        <v/>
      </c>
      <c r="F134" s="39">
        <f>IF(($K$7+75)&gt;$L$7,"",IFERROR(E134/D134,""))</f>
        <v/>
      </c>
      <c r="G134" s="40">
        <f>IF(($K$7+75)&gt;$L$7,"",IFERROR(B134/E134,""))</f>
        <v/>
      </c>
      <c r="H134" s="38">
        <f>IF(($K$7+75)&gt;$L$7,"",SUMIFS('Данные'!$F:$F,'Данные'!$A:$A,"&gt;="&amp;($K$7+75),'Данные'!$A:$A,"&lt;"&amp;($K$7+75)+1,'Данные'!$B:$B,$B$3))</f>
        <v/>
      </c>
      <c r="I134" s="40">
        <f>IF(($K$7+75)&gt;$L$7,"",IFERROR(B134/H134,""))</f>
        <v/>
      </c>
      <c r="J134" s="41">
        <f>IF(($K$7+75)&gt;$L$7,"",IFERROR(H134/E134,""))</f>
        <v/>
      </c>
    </row>
    <row r="135">
      <c r="A135" s="29">
        <f>IF(($K$7+76)&gt;$L$7,"",TEXT(($K$7+76),"DD.MM")&amp;" "&amp;CHOOSE(WEEKDAY(($K$7+76),2),"пн","вт","ср","чт","пт","сб","вс"))</f>
        <v/>
      </c>
      <c r="B135" s="30">
        <f>IF(($K$7+76)&gt;$L$7,"",SUMIFS('Данные'!$C:$C,'Данные'!$A:$A,"&gt;="&amp;($K$7+76),'Данные'!$A:$A,"&lt;"&amp;($K$7+76)+1,'Данные'!$B:$B,$B$3))</f>
        <v/>
      </c>
      <c r="C135" s="30">
        <f>IF(($K$7+76)&gt;$L$7,"",B135*(100+22)/100)</f>
        <v/>
      </c>
      <c r="D135" s="31">
        <f>IF(($K$7+76)&gt;$L$7,"",SUMIFS('Данные'!$D:$D,'Данные'!$A:$A,"&gt;="&amp;($K$7+76),'Данные'!$A:$A,"&lt;"&amp;($K$7+76)+1,'Данные'!$B:$B,$B$3))</f>
        <v/>
      </c>
      <c r="E135" s="31">
        <f>IF(($K$7+76)&gt;$L$7,"",SUMIFS('Данные'!$E:$E,'Данные'!$A:$A,"&gt;="&amp;($K$7+76),'Данные'!$A:$A,"&lt;"&amp;($K$7+76)+1,'Данные'!$B:$B,$B$3))</f>
        <v/>
      </c>
      <c r="F135" s="32">
        <f>IF(($K$7+76)&gt;$L$7,"",IFERROR(E135/D135,""))</f>
        <v/>
      </c>
      <c r="G135" s="33">
        <f>IF(($K$7+76)&gt;$L$7,"",IFERROR(B135/E135,""))</f>
        <v/>
      </c>
      <c r="H135" s="31">
        <f>IF(($K$7+76)&gt;$L$7,"",SUMIFS('Данные'!$F:$F,'Данные'!$A:$A,"&gt;="&amp;($K$7+76),'Данные'!$A:$A,"&lt;"&amp;($K$7+76)+1,'Данные'!$B:$B,$B$3))</f>
        <v/>
      </c>
      <c r="I135" s="33">
        <f>IF(($K$7+76)&gt;$L$7,"",IFERROR(B135/H135,""))</f>
        <v/>
      </c>
      <c r="J135" s="34">
        <f>IF(($K$7+76)&gt;$L$7,"",IFERROR(H135/E135,""))</f>
        <v/>
      </c>
    </row>
    <row r="136">
      <c r="A136" s="36">
        <f>IF(($K$7+77)&gt;$L$7,"",TEXT(($K$7+77),"DD.MM")&amp;" "&amp;CHOOSE(WEEKDAY(($K$7+77),2),"пн","вт","ср","чт","пт","сб","вс"))</f>
        <v/>
      </c>
      <c r="B136" s="37">
        <f>IF(($K$7+77)&gt;$L$7,"",SUMIFS('Данные'!$C:$C,'Данные'!$A:$A,"&gt;="&amp;($K$7+77),'Данные'!$A:$A,"&lt;"&amp;($K$7+77)+1,'Данные'!$B:$B,$B$3))</f>
        <v/>
      </c>
      <c r="C136" s="37">
        <f>IF(($K$7+77)&gt;$L$7,"",B136*(100+22)/100)</f>
        <v/>
      </c>
      <c r="D136" s="38">
        <f>IF(($K$7+77)&gt;$L$7,"",SUMIFS('Данные'!$D:$D,'Данные'!$A:$A,"&gt;="&amp;($K$7+77),'Данные'!$A:$A,"&lt;"&amp;($K$7+77)+1,'Данные'!$B:$B,$B$3))</f>
        <v/>
      </c>
      <c r="E136" s="38">
        <f>IF(($K$7+77)&gt;$L$7,"",SUMIFS('Данные'!$E:$E,'Данные'!$A:$A,"&gt;="&amp;($K$7+77),'Данные'!$A:$A,"&lt;"&amp;($K$7+77)+1,'Данные'!$B:$B,$B$3))</f>
        <v/>
      </c>
      <c r="F136" s="39">
        <f>IF(($K$7+77)&gt;$L$7,"",IFERROR(E136/D136,""))</f>
        <v/>
      </c>
      <c r="G136" s="40">
        <f>IF(($K$7+77)&gt;$L$7,"",IFERROR(B136/E136,""))</f>
        <v/>
      </c>
      <c r="H136" s="38">
        <f>IF(($K$7+77)&gt;$L$7,"",SUMIFS('Данные'!$F:$F,'Данные'!$A:$A,"&gt;="&amp;($K$7+77),'Данные'!$A:$A,"&lt;"&amp;($K$7+77)+1,'Данные'!$B:$B,$B$3))</f>
        <v/>
      </c>
      <c r="I136" s="40">
        <f>IF(($K$7+77)&gt;$L$7,"",IFERROR(B136/H136,""))</f>
        <v/>
      </c>
      <c r="J136" s="41">
        <f>IF(($K$7+77)&gt;$L$7,"",IFERROR(H136/E136,""))</f>
        <v/>
      </c>
    </row>
    <row r="137">
      <c r="A137" s="29">
        <f>IF(($K$7+78)&gt;$L$7,"",TEXT(($K$7+78),"DD.MM")&amp;" "&amp;CHOOSE(WEEKDAY(($K$7+78),2),"пн","вт","ср","чт","пт","сб","вс"))</f>
        <v/>
      </c>
      <c r="B137" s="30">
        <f>IF(($K$7+78)&gt;$L$7,"",SUMIFS('Данные'!$C:$C,'Данные'!$A:$A,"&gt;="&amp;($K$7+78),'Данные'!$A:$A,"&lt;"&amp;($K$7+78)+1,'Данные'!$B:$B,$B$3))</f>
        <v/>
      </c>
      <c r="C137" s="30">
        <f>IF(($K$7+78)&gt;$L$7,"",B137*(100+22)/100)</f>
        <v/>
      </c>
      <c r="D137" s="31">
        <f>IF(($K$7+78)&gt;$L$7,"",SUMIFS('Данные'!$D:$D,'Данные'!$A:$A,"&gt;="&amp;($K$7+78),'Данные'!$A:$A,"&lt;"&amp;($K$7+78)+1,'Данные'!$B:$B,$B$3))</f>
        <v/>
      </c>
      <c r="E137" s="31">
        <f>IF(($K$7+78)&gt;$L$7,"",SUMIFS('Данные'!$E:$E,'Данные'!$A:$A,"&gt;="&amp;($K$7+78),'Данные'!$A:$A,"&lt;"&amp;($K$7+78)+1,'Данные'!$B:$B,$B$3))</f>
        <v/>
      </c>
      <c r="F137" s="32">
        <f>IF(($K$7+78)&gt;$L$7,"",IFERROR(E137/D137,""))</f>
        <v/>
      </c>
      <c r="G137" s="33">
        <f>IF(($K$7+78)&gt;$L$7,"",IFERROR(B137/E137,""))</f>
        <v/>
      </c>
      <c r="H137" s="31">
        <f>IF(($K$7+78)&gt;$L$7,"",SUMIFS('Данные'!$F:$F,'Данные'!$A:$A,"&gt;="&amp;($K$7+78),'Данные'!$A:$A,"&lt;"&amp;($K$7+78)+1,'Данные'!$B:$B,$B$3))</f>
        <v/>
      </c>
      <c r="I137" s="33">
        <f>IF(($K$7+78)&gt;$L$7,"",IFERROR(B137/H137,""))</f>
        <v/>
      </c>
      <c r="J137" s="34">
        <f>IF(($K$7+78)&gt;$L$7,"",IFERROR(H137/E137,""))</f>
        <v/>
      </c>
    </row>
    <row r="138">
      <c r="A138" s="36">
        <f>IF(($K$7+79)&gt;$L$7,"",TEXT(($K$7+79),"DD.MM")&amp;" "&amp;CHOOSE(WEEKDAY(($K$7+79),2),"пн","вт","ср","чт","пт","сб","вс"))</f>
        <v/>
      </c>
      <c r="B138" s="37">
        <f>IF(($K$7+79)&gt;$L$7,"",SUMIFS('Данные'!$C:$C,'Данные'!$A:$A,"&gt;="&amp;($K$7+79),'Данные'!$A:$A,"&lt;"&amp;($K$7+79)+1,'Данные'!$B:$B,$B$3))</f>
        <v/>
      </c>
      <c r="C138" s="37">
        <f>IF(($K$7+79)&gt;$L$7,"",B138*(100+22)/100)</f>
        <v/>
      </c>
      <c r="D138" s="38">
        <f>IF(($K$7+79)&gt;$L$7,"",SUMIFS('Данные'!$D:$D,'Данные'!$A:$A,"&gt;="&amp;($K$7+79),'Данные'!$A:$A,"&lt;"&amp;($K$7+79)+1,'Данные'!$B:$B,$B$3))</f>
        <v/>
      </c>
      <c r="E138" s="38">
        <f>IF(($K$7+79)&gt;$L$7,"",SUMIFS('Данные'!$E:$E,'Данные'!$A:$A,"&gt;="&amp;($K$7+79),'Данные'!$A:$A,"&lt;"&amp;($K$7+79)+1,'Данные'!$B:$B,$B$3))</f>
        <v/>
      </c>
      <c r="F138" s="39">
        <f>IF(($K$7+79)&gt;$L$7,"",IFERROR(E138/D138,""))</f>
        <v/>
      </c>
      <c r="G138" s="40">
        <f>IF(($K$7+79)&gt;$L$7,"",IFERROR(B138/E138,""))</f>
        <v/>
      </c>
      <c r="H138" s="38">
        <f>IF(($K$7+79)&gt;$L$7,"",SUMIFS('Данные'!$F:$F,'Данные'!$A:$A,"&gt;="&amp;($K$7+79),'Данные'!$A:$A,"&lt;"&amp;($K$7+79)+1,'Данные'!$B:$B,$B$3))</f>
        <v/>
      </c>
      <c r="I138" s="40">
        <f>IF(($K$7+79)&gt;$L$7,"",IFERROR(B138/H138,""))</f>
        <v/>
      </c>
      <c r="J138" s="41">
        <f>IF(($K$7+79)&gt;$L$7,"",IFERROR(H138/E138,""))</f>
        <v/>
      </c>
    </row>
    <row r="139">
      <c r="A139" s="29">
        <f>IF(($K$7+80)&gt;$L$7,"",TEXT(($K$7+80),"DD.MM")&amp;" "&amp;CHOOSE(WEEKDAY(($K$7+80),2),"пн","вт","ср","чт","пт","сб","вс"))</f>
        <v/>
      </c>
      <c r="B139" s="30">
        <f>IF(($K$7+80)&gt;$L$7,"",SUMIFS('Данные'!$C:$C,'Данные'!$A:$A,"&gt;="&amp;($K$7+80),'Данные'!$A:$A,"&lt;"&amp;($K$7+80)+1,'Данные'!$B:$B,$B$3))</f>
        <v/>
      </c>
      <c r="C139" s="30">
        <f>IF(($K$7+80)&gt;$L$7,"",B139*(100+22)/100)</f>
        <v/>
      </c>
      <c r="D139" s="31">
        <f>IF(($K$7+80)&gt;$L$7,"",SUMIFS('Данные'!$D:$D,'Данные'!$A:$A,"&gt;="&amp;($K$7+80),'Данные'!$A:$A,"&lt;"&amp;($K$7+80)+1,'Данные'!$B:$B,$B$3))</f>
        <v/>
      </c>
      <c r="E139" s="31">
        <f>IF(($K$7+80)&gt;$L$7,"",SUMIFS('Данные'!$E:$E,'Данные'!$A:$A,"&gt;="&amp;($K$7+80),'Данные'!$A:$A,"&lt;"&amp;($K$7+80)+1,'Данные'!$B:$B,$B$3))</f>
        <v/>
      </c>
      <c r="F139" s="32">
        <f>IF(($K$7+80)&gt;$L$7,"",IFERROR(E139/D139,""))</f>
        <v/>
      </c>
      <c r="G139" s="33">
        <f>IF(($K$7+80)&gt;$L$7,"",IFERROR(B139/E139,""))</f>
        <v/>
      </c>
      <c r="H139" s="31">
        <f>IF(($K$7+80)&gt;$L$7,"",SUMIFS('Данные'!$F:$F,'Данные'!$A:$A,"&gt;="&amp;($K$7+80),'Данные'!$A:$A,"&lt;"&amp;($K$7+80)+1,'Данные'!$B:$B,$B$3))</f>
        <v/>
      </c>
      <c r="I139" s="33">
        <f>IF(($K$7+80)&gt;$L$7,"",IFERROR(B139/H139,""))</f>
        <v/>
      </c>
      <c r="J139" s="34">
        <f>IF(($K$7+80)&gt;$L$7,"",IFERROR(H139/E139,""))</f>
        <v/>
      </c>
    </row>
    <row r="140">
      <c r="A140" s="36">
        <f>IF(($K$7+81)&gt;$L$7,"",TEXT(($K$7+81),"DD.MM")&amp;" "&amp;CHOOSE(WEEKDAY(($K$7+81),2),"пн","вт","ср","чт","пт","сб","вс"))</f>
        <v/>
      </c>
      <c r="B140" s="37">
        <f>IF(($K$7+81)&gt;$L$7,"",SUMIFS('Данные'!$C:$C,'Данные'!$A:$A,"&gt;="&amp;($K$7+81),'Данные'!$A:$A,"&lt;"&amp;($K$7+81)+1,'Данные'!$B:$B,$B$3))</f>
        <v/>
      </c>
      <c r="C140" s="37">
        <f>IF(($K$7+81)&gt;$L$7,"",B140*(100+22)/100)</f>
        <v/>
      </c>
      <c r="D140" s="38">
        <f>IF(($K$7+81)&gt;$L$7,"",SUMIFS('Данные'!$D:$D,'Данные'!$A:$A,"&gt;="&amp;($K$7+81),'Данные'!$A:$A,"&lt;"&amp;($K$7+81)+1,'Данные'!$B:$B,$B$3))</f>
        <v/>
      </c>
      <c r="E140" s="38">
        <f>IF(($K$7+81)&gt;$L$7,"",SUMIFS('Данные'!$E:$E,'Данные'!$A:$A,"&gt;="&amp;($K$7+81),'Данные'!$A:$A,"&lt;"&amp;($K$7+81)+1,'Данные'!$B:$B,$B$3))</f>
        <v/>
      </c>
      <c r="F140" s="39">
        <f>IF(($K$7+81)&gt;$L$7,"",IFERROR(E140/D140,""))</f>
        <v/>
      </c>
      <c r="G140" s="40">
        <f>IF(($K$7+81)&gt;$L$7,"",IFERROR(B140/E140,""))</f>
        <v/>
      </c>
      <c r="H140" s="38">
        <f>IF(($K$7+81)&gt;$L$7,"",SUMIFS('Данные'!$F:$F,'Данные'!$A:$A,"&gt;="&amp;($K$7+81),'Данные'!$A:$A,"&lt;"&amp;($K$7+81)+1,'Данные'!$B:$B,$B$3))</f>
        <v/>
      </c>
      <c r="I140" s="40">
        <f>IF(($K$7+81)&gt;$L$7,"",IFERROR(B140/H140,""))</f>
        <v/>
      </c>
      <c r="J140" s="41">
        <f>IF(($K$7+81)&gt;$L$7,"",IFERROR(H140/E140,""))</f>
        <v/>
      </c>
    </row>
    <row r="141">
      <c r="A141" s="29">
        <f>IF(($K$7+82)&gt;$L$7,"",TEXT(($K$7+82),"DD.MM")&amp;" "&amp;CHOOSE(WEEKDAY(($K$7+82),2),"пн","вт","ср","чт","пт","сб","вс"))</f>
        <v/>
      </c>
      <c r="B141" s="30">
        <f>IF(($K$7+82)&gt;$L$7,"",SUMIFS('Данные'!$C:$C,'Данные'!$A:$A,"&gt;="&amp;($K$7+82),'Данные'!$A:$A,"&lt;"&amp;($K$7+82)+1,'Данные'!$B:$B,$B$3))</f>
        <v/>
      </c>
      <c r="C141" s="30">
        <f>IF(($K$7+82)&gt;$L$7,"",B141*(100+22)/100)</f>
        <v/>
      </c>
      <c r="D141" s="31">
        <f>IF(($K$7+82)&gt;$L$7,"",SUMIFS('Данные'!$D:$D,'Данные'!$A:$A,"&gt;="&amp;($K$7+82),'Данные'!$A:$A,"&lt;"&amp;($K$7+82)+1,'Данные'!$B:$B,$B$3))</f>
        <v/>
      </c>
      <c r="E141" s="31">
        <f>IF(($K$7+82)&gt;$L$7,"",SUMIFS('Данные'!$E:$E,'Данные'!$A:$A,"&gt;="&amp;($K$7+82),'Данные'!$A:$A,"&lt;"&amp;($K$7+82)+1,'Данные'!$B:$B,$B$3))</f>
        <v/>
      </c>
      <c r="F141" s="32">
        <f>IF(($K$7+82)&gt;$L$7,"",IFERROR(E141/D141,""))</f>
        <v/>
      </c>
      <c r="G141" s="33">
        <f>IF(($K$7+82)&gt;$L$7,"",IFERROR(B141/E141,""))</f>
        <v/>
      </c>
      <c r="H141" s="31">
        <f>IF(($K$7+82)&gt;$L$7,"",SUMIFS('Данные'!$F:$F,'Данные'!$A:$A,"&gt;="&amp;($K$7+82),'Данные'!$A:$A,"&lt;"&amp;($K$7+82)+1,'Данные'!$B:$B,$B$3))</f>
        <v/>
      </c>
      <c r="I141" s="33">
        <f>IF(($K$7+82)&gt;$L$7,"",IFERROR(B141/H141,""))</f>
        <v/>
      </c>
      <c r="J141" s="34">
        <f>IF(($K$7+82)&gt;$L$7,"",IFERROR(H141/E141,""))</f>
        <v/>
      </c>
    </row>
    <row r="142">
      <c r="A142" s="36">
        <f>IF(($K$7+83)&gt;$L$7,"",TEXT(($K$7+83),"DD.MM")&amp;" "&amp;CHOOSE(WEEKDAY(($K$7+83),2),"пн","вт","ср","чт","пт","сб","вс"))</f>
        <v/>
      </c>
      <c r="B142" s="37">
        <f>IF(($K$7+83)&gt;$L$7,"",SUMIFS('Данные'!$C:$C,'Данные'!$A:$A,"&gt;="&amp;($K$7+83),'Данные'!$A:$A,"&lt;"&amp;($K$7+83)+1,'Данные'!$B:$B,$B$3))</f>
        <v/>
      </c>
      <c r="C142" s="37">
        <f>IF(($K$7+83)&gt;$L$7,"",B142*(100+22)/100)</f>
        <v/>
      </c>
      <c r="D142" s="38">
        <f>IF(($K$7+83)&gt;$L$7,"",SUMIFS('Данные'!$D:$D,'Данные'!$A:$A,"&gt;="&amp;($K$7+83),'Данные'!$A:$A,"&lt;"&amp;($K$7+83)+1,'Данные'!$B:$B,$B$3))</f>
        <v/>
      </c>
      <c r="E142" s="38">
        <f>IF(($K$7+83)&gt;$L$7,"",SUMIFS('Данные'!$E:$E,'Данные'!$A:$A,"&gt;="&amp;($K$7+83),'Данные'!$A:$A,"&lt;"&amp;($K$7+83)+1,'Данные'!$B:$B,$B$3))</f>
        <v/>
      </c>
      <c r="F142" s="39">
        <f>IF(($K$7+83)&gt;$L$7,"",IFERROR(E142/D142,""))</f>
        <v/>
      </c>
      <c r="G142" s="40">
        <f>IF(($K$7+83)&gt;$L$7,"",IFERROR(B142/E142,""))</f>
        <v/>
      </c>
      <c r="H142" s="38">
        <f>IF(($K$7+83)&gt;$L$7,"",SUMIFS('Данные'!$F:$F,'Данные'!$A:$A,"&gt;="&amp;($K$7+83),'Данные'!$A:$A,"&lt;"&amp;($K$7+83)+1,'Данные'!$B:$B,$B$3))</f>
        <v/>
      </c>
      <c r="I142" s="40">
        <f>IF(($K$7+83)&gt;$L$7,"",IFERROR(B142/H142,""))</f>
        <v/>
      </c>
      <c r="J142" s="41">
        <f>IF(($K$7+83)&gt;$L$7,"",IFERROR(H142/E142,""))</f>
        <v/>
      </c>
    </row>
    <row r="143">
      <c r="A143" s="29">
        <f>IF(($K$7+84)&gt;$L$7,"",TEXT(($K$7+84),"DD.MM")&amp;" "&amp;CHOOSE(WEEKDAY(($K$7+84),2),"пн","вт","ср","чт","пт","сб","вс"))</f>
        <v/>
      </c>
      <c r="B143" s="30">
        <f>IF(($K$7+84)&gt;$L$7,"",SUMIFS('Данные'!$C:$C,'Данные'!$A:$A,"&gt;="&amp;($K$7+84),'Данные'!$A:$A,"&lt;"&amp;($K$7+84)+1,'Данные'!$B:$B,$B$3))</f>
        <v/>
      </c>
      <c r="C143" s="30">
        <f>IF(($K$7+84)&gt;$L$7,"",B143*(100+22)/100)</f>
        <v/>
      </c>
      <c r="D143" s="31">
        <f>IF(($K$7+84)&gt;$L$7,"",SUMIFS('Данные'!$D:$D,'Данные'!$A:$A,"&gt;="&amp;($K$7+84),'Данные'!$A:$A,"&lt;"&amp;($K$7+84)+1,'Данные'!$B:$B,$B$3))</f>
        <v/>
      </c>
      <c r="E143" s="31">
        <f>IF(($K$7+84)&gt;$L$7,"",SUMIFS('Данные'!$E:$E,'Данные'!$A:$A,"&gt;="&amp;($K$7+84),'Данные'!$A:$A,"&lt;"&amp;($K$7+84)+1,'Данные'!$B:$B,$B$3))</f>
        <v/>
      </c>
      <c r="F143" s="32">
        <f>IF(($K$7+84)&gt;$L$7,"",IFERROR(E143/D143,""))</f>
        <v/>
      </c>
      <c r="G143" s="33">
        <f>IF(($K$7+84)&gt;$L$7,"",IFERROR(B143/E143,""))</f>
        <v/>
      </c>
      <c r="H143" s="31">
        <f>IF(($K$7+84)&gt;$L$7,"",SUMIFS('Данные'!$F:$F,'Данные'!$A:$A,"&gt;="&amp;($K$7+84),'Данные'!$A:$A,"&lt;"&amp;($K$7+84)+1,'Данные'!$B:$B,$B$3))</f>
        <v/>
      </c>
      <c r="I143" s="33">
        <f>IF(($K$7+84)&gt;$L$7,"",IFERROR(B143/H143,""))</f>
        <v/>
      </c>
      <c r="J143" s="34">
        <f>IF(($K$7+84)&gt;$L$7,"",IFERROR(H143/E143,""))</f>
        <v/>
      </c>
    </row>
    <row r="144">
      <c r="A144" s="36">
        <f>IF(($K$7+85)&gt;$L$7,"",TEXT(($K$7+85),"DD.MM")&amp;" "&amp;CHOOSE(WEEKDAY(($K$7+85),2),"пн","вт","ср","чт","пт","сб","вс"))</f>
        <v/>
      </c>
      <c r="B144" s="37">
        <f>IF(($K$7+85)&gt;$L$7,"",SUMIFS('Данные'!$C:$C,'Данные'!$A:$A,"&gt;="&amp;($K$7+85),'Данные'!$A:$A,"&lt;"&amp;($K$7+85)+1,'Данные'!$B:$B,$B$3))</f>
        <v/>
      </c>
      <c r="C144" s="37">
        <f>IF(($K$7+85)&gt;$L$7,"",B144*(100+22)/100)</f>
        <v/>
      </c>
      <c r="D144" s="38">
        <f>IF(($K$7+85)&gt;$L$7,"",SUMIFS('Данные'!$D:$D,'Данные'!$A:$A,"&gt;="&amp;($K$7+85),'Данные'!$A:$A,"&lt;"&amp;($K$7+85)+1,'Данные'!$B:$B,$B$3))</f>
        <v/>
      </c>
      <c r="E144" s="38">
        <f>IF(($K$7+85)&gt;$L$7,"",SUMIFS('Данные'!$E:$E,'Данные'!$A:$A,"&gt;="&amp;($K$7+85),'Данные'!$A:$A,"&lt;"&amp;($K$7+85)+1,'Данные'!$B:$B,$B$3))</f>
        <v/>
      </c>
      <c r="F144" s="39">
        <f>IF(($K$7+85)&gt;$L$7,"",IFERROR(E144/D144,""))</f>
        <v/>
      </c>
      <c r="G144" s="40">
        <f>IF(($K$7+85)&gt;$L$7,"",IFERROR(B144/E144,""))</f>
        <v/>
      </c>
      <c r="H144" s="38">
        <f>IF(($K$7+85)&gt;$L$7,"",SUMIFS('Данные'!$F:$F,'Данные'!$A:$A,"&gt;="&amp;($K$7+85),'Данные'!$A:$A,"&lt;"&amp;($K$7+85)+1,'Данные'!$B:$B,$B$3))</f>
        <v/>
      </c>
      <c r="I144" s="40">
        <f>IF(($K$7+85)&gt;$L$7,"",IFERROR(B144/H144,""))</f>
        <v/>
      </c>
      <c r="J144" s="41">
        <f>IF(($K$7+85)&gt;$L$7,"",IFERROR(H144/E144,""))</f>
        <v/>
      </c>
    </row>
    <row r="145">
      <c r="A145" s="29">
        <f>IF(($K$7+86)&gt;$L$7,"",TEXT(($K$7+86),"DD.MM")&amp;" "&amp;CHOOSE(WEEKDAY(($K$7+86),2),"пн","вт","ср","чт","пт","сб","вс"))</f>
        <v/>
      </c>
      <c r="B145" s="30">
        <f>IF(($K$7+86)&gt;$L$7,"",SUMIFS('Данные'!$C:$C,'Данные'!$A:$A,"&gt;="&amp;($K$7+86),'Данные'!$A:$A,"&lt;"&amp;($K$7+86)+1,'Данные'!$B:$B,$B$3))</f>
        <v/>
      </c>
      <c r="C145" s="30">
        <f>IF(($K$7+86)&gt;$L$7,"",B145*(100+22)/100)</f>
        <v/>
      </c>
      <c r="D145" s="31">
        <f>IF(($K$7+86)&gt;$L$7,"",SUMIFS('Данные'!$D:$D,'Данные'!$A:$A,"&gt;="&amp;($K$7+86),'Данные'!$A:$A,"&lt;"&amp;($K$7+86)+1,'Данные'!$B:$B,$B$3))</f>
        <v/>
      </c>
      <c r="E145" s="31">
        <f>IF(($K$7+86)&gt;$L$7,"",SUMIFS('Данные'!$E:$E,'Данные'!$A:$A,"&gt;="&amp;($K$7+86),'Данные'!$A:$A,"&lt;"&amp;($K$7+86)+1,'Данные'!$B:$B,$B$3))</f>
        <v/>
      </c>
      <c r="F145" s="32">
        <f>IF(($K$7+86)&gt;$L$7,"",IFERROR(E145/D145,""))</f>
        <v/>
      </c>
      <c r="G145" s="33">
        <f>IF(($K$7+86)&gt;$L$7,"",IFERROR(B145/E145,""))</f>
        <v/>
      </c>
      <c r="H145" s="31">
        <f>IF(($K$7+86)&gt;$L$7,"",SUMIFS('Данные'!$F:$F,'Данные'!$A:$A,"&gt;="&amp;($K$7+86),'Данные'!$A:$A,"&lt;"&amp;($K$7+86)+1,'Данные'!$B:$B,$B$3))</f>
        <v/>
      </c>
      <c r="I145" s="33">
        <f>IF(($K$7+86)&gt;$L$7,"",IFERROR(B145/H145,""))</f>
        <v/>
      </c>
      <c r="J145" s="34">
        <f>IF(($K$7+86)&gt;$L$7,"",IFERROR(H145/E145,""))</f>
        <v/>
      </c>
    </row>
    <row r="146">
      <c r="A146" s="36">
        <f>IF(($K$7+87)&gt;$L$7,"",TEXT(($K$7+87),"DD.MM")&amp;" "&amp;CHOOSE(WEEKDAY(($K$7+87),2),"пн","вт","ср","чт","пт","сб","вс"))</f>
        <v/>
      </c>
      <c r="B146" s="37">
        <f>IF(($K$7+87)&gt;$L$7,"",SUMIFS('Данные'!$C:$C,'Данные'!$A:$A,"&gt;="&amp;($K$7+87),'Данные'!$A:$A,"&lt;"&amp;($K$7+87)+1,'Данные'!$B:$B,$B$3))</f>
        <v/>
      </c>
      <c r="C146" s="37">
        <f>IF(($K$7+87)&gt;$L$7,"",B146*(100+22)/100)</f>
        <v/>
      </c>
      <c r="D146" s="38">
        <f>IF(($K$7+87)&gt;$L$7,"",SUMIFS('Данные'!$D:$D,'Данные'!$A:$A,"&gt;="&amp;($K$7+87),'Данные'!$A:$A,"&lt;"&amp;($K$7+87)+1,'Данные'!$B:$B,$B$3))</f>
        <v/>
      </c>
      <c r="E146" s="38">
        <f>IF(($K$7+87)&gt;$L$7,"",SUMIFS('Данные'!$E:$E,'Данные'!$A:$A,"&gt;="&amp;($K$7+87),'Данные'!$A:$A,"&lt;"&amp;($K$7+87)+1,'Данные'!$B:$B,$B$3))</f>
        <v/>
      </c>
      <c r="F146" s="39">
        <f>IF(($K$7+87)&gt;$L$7,"",IFERROR(E146/D146,""))</f>
        <v/>
      </c>
      <c r="G146" s="40">
        <f>IF(($K$7+87)&gt;$L$7,"",IFERROR(B146/E146,""))</f>
        <v/>
      </c>
      <c r="H146" s="38">
        <f>IF(($K$7+87)&gt;$L$7,"",SUMIFS('Данные'!$F:$F,'Данные'!$A:$A,"&gt;="&amp;($K$7+87),'Данные'!$A:$A,"&lt;"&amp;($K$7+87)+1,'Данные'!$B:$B,$B$3))</f>
        <v/>
      </c>
      <c r="I146" s="40">
        <f>IF(($K$7+87)&gt;$L$7,"",IFERROR(B146/H146,""))</f>
        <v/>
      </c>
      <c r="J146" s="41">
        <f>IF(($K$7+87)&gt;$L$7,"",IFERROR(H146/E146,""))</f>
        <v/>
      </c>
    </row>
    <row r="147">
      <c r="A147" s="29">
        <f>IF(($K$7+88)&gt;$L$7,"",TEXT(($K$7+88),"DD.MM")&amp;" "&amp;CHOOSE(WEEKDAY(($K$7+88),2),"пн","вт","ср","чт","пт","сб","вс"))</f>
        <v/>
      </c>
      <c r="B147" s="30">
        <f>IF(($K$7+88)&gt;$L$7,"",SUMIFS('Данные'!$C:$C,'Данные'!$A:$A,"&gt;="&amp;($K$7+88),'Данные'!$A:$A,"&lt;"&amp;($K$7+88)+1,'Данные'!$B:$B,$B$3))</f>
        <v/>
      </c>
      <c r="C147" s="30">
        <f>IF(($K$7+88)&gt;$L$7,"",B147*(100+22)/100)</f>
        <v/>
      </c>
      <c r="D147" s="31">
        <f>IF(($K$7+88)&gt;$L$7,"",SUMIFS('Данные'!$D:$D,'Данные'!$A:$A,"&gt;="&amp;($K$7+88),'Данные'!$A:$A,"&lt;"&amp;($K$7+88)+1,'Данные'!$B:$B,$B$3))</f>
        <v/>
      </c>
      <c r="E147" s="31">
        <f>IF(($K$7+88)&gt;$L$7,"",SUMIFS('Данные'!$E:$E,'Данные'!$A:$A,"&gt;="&amp;($K$7+88),'Данные'!$A:$A,"&lt;"&amp;($K$7+88)+1,'Данные'!$B:$B,$B$3))</f>
        <v/>
      </c>
      <c r="F147" s="32">
        <f>IF(($K$7+88)&gt;$L$7,"",IFERROR(E147/D147,""))</f>
        <v/>
      </c>
      <c r="G147" s="33">
        <f>IF(($K$7+88)&gt;$L$7,"",IFERROR(B147/E147,""))</f>
        <v/>
      </c>
      <c r="H147" s="31">
        <f>IF(($K$7+88)&gt;$L$7,"",SUMIFS('Данные'!$F:$F,'Данные'!$A:$A,"&gt;="&amp;($K$7+88),'Данные'!$A:$A,"&lt;"&amp;($K$7+88)+1,'Данные'!$B:$B,$B$3))</f>
        <v/>
      </c>
      <c r="I147" s="33">
        <f>IF(($K$7+88)&gt;$L$7,"",IFERROR(B147/H147,""))</f>
        <v/>
      </c>
      <c r="J147" s="34">
        <f>IF(($K$7+88)&gt;$L$7,"",IFERROR(H147/E147,""))</f>
        <v/>
      </c>
    </row>
    <row r="148">
      <c r="A148" s="36">
        <f>IF(($K$7+89)&gt;$L$7,"",TEXT(($K$7+89),"DD.MM")&amp;" "&amp;CHOOSE(WEEKDAY(($K$7+89),2),"пн","вт","ср","чт","пт","сб","вс"))</f>
        <v/>
      </c>
      <c r="B148" s="37">
        <f>IF(($K$7+89)&gt;$L$7,"",SUMIFS('Данные'!$C:$C,'Данные'!$A:$A,"&gt;="&amp;($K$7+89),'Данные'!$A:$A,"&lt;"&amp;($K$7+89)+1,'Данные'!$B:$B,$B$3))</f>
        <v/>
      </c>
      <c r="C148" s="37">
        <f>IF(($K$7+89)&gt;$L$7,"",B148*(100+22)/100)</f>
        <v/>
      </c>
      <c r="D148" s="38">
        <f>IF(($K$7+89)&gt;$L$7,"",SUMIFS('Данные'!$D:$D,'Данные'!$A:$A,"&gt;="&amp;($K$7+89),'Данные'!$A:$A,"&lt;"&amp;($K$7+89)+1,'Данные'!$B:$B,$B$3))</f>
        <v/>
      </c>
      <c r="E148" s="38">
        <f>IF(($K$7+89)&gt;$L$7,"",SUMIFS('Данные'!$E:$E,'Данные'!$A:$A,"&gt;="&amp;($K$7+89),'Данные'!$A:$A,"&lt;"&amp;($K$7+89)+1,'Данные'!$B:$B,$B$3))</f>
        <v/>
      </c>
      <c r="F148" s="39">
        <f>IF(($K$7+89)&gt;$L$7,"",IFERROR(E148/D148,""))</f>
        <v/>
      </c>
      <c r="G148" s="40">
        <f>IF(($K$7+89)&gt;$L$7,"",IFERROR(B148/E148,""))</f>
        <v/>
      </c>
      <c r="H148" s="38">
        <f>IF(($K$7+89)&gt;$L$7,"",SUMIFS('Данные'!$F:$F,'Данные'!$A:$A,"&gt;="&amp;($K$7+89),'Данные'!$A:$A,"&lt;"&amp;($K$7+89)+1,'Данные'!$B:$B,$B$3))</f>
        <v/>
      </c>
      <c r="I148" s="40">
        <f>IF(($K$7+89)&gt;$L$7,"",IFERROR(B148/H148,""))</f>
        <v/>
      </c>
      <c r="J148" s="41">
        <f>IF(($K$7+89)&gt;$L$7,"",IFERROR(H148/E148,""))</f>
        <v/>
      </c>
    </row>
    <row r="149">
      <c r="A149" s="29">
        <f>IF(($K$7+90)&gt;$L$7,"",TEXT(($K$7+90),"DD.MM")&amp;" "&amp;CHOOSE(WEEKDAY(($K$7+90),2),"пн","вт","ср","чт","пт","сб","вс"))</f>
        <v/>
      </c>
      <c r="B149" s="30">
        <f>IF(($K$7+90)&gt;$L$7,"",SUMIFS('Данные'!$C:$C,'Данные'!$A:$A,"&gt;="&amp;($K$7+90),'Данные'!$A:$A,"&lt;"&amp;($K$7+90)+1,'Данные'!$B:$B,$B$3))</f>
        <v/>
      </c>
      <c r="C149" s="30">
        <f>IF(($K$7+90)&gt;$L$7,"",B149*(100+22)/100)</f>
        <v/>
      </c>
      <c r="D149" s="31">
        <f>IF(($K$7+90)&gt;$L$7,"",SUMIFS('Данные'!$D:$D,'Данные'!$A:$A,"&gt;="&amp;($K$7+90),'Данные'!$A:$A,"&lt;"&amp;($K$7+90)+1,'Данные'!$B:$B,$B$3))</f>
        <v/>
      </c>
      <c r="E149" s="31">
        <f>IF(($K$7+90)&gt;$L$7,"",SUMIFS('Данные'!$E:$E,'Данные'!$A:$A,"&gt;="&amp;($K$7+90),'Данные'!$A:$A,"&lt;"&amp;($K$7+90)+1,'Данные'!$B:$B,$B$3))</f>
        <v/>
      </c>
      <c r="F149" s="32">
        <f>IF(($K$7+90)&gt;$L$7,"",IFERROR(E149/D149,""))</f>
        <v/>
      </c>
      <c r="G149" s="33">
        <f>IF(($K$7+90)&gt;$L$7,"",IFERROR(B149/E149,""))</f>
        <v/>
      </c>
      <c r="H149" s="31">
        <f>IF(($K$7+90)&gt;$L$7,"",SUMIFS('Данные'!$F:$F,'Данные'!$A:$A,"&gt;="&amp;($K$7+90),'Данные'!$A:$A,"&lt;"&amp;($K$7+90)+1,'Данные'!$B:$B,$B$3))</f>
        <v/>
      </c>
      <c r="I149" s="33">
        <f>IF(($K$7+90)&gt;$L$7,"",IFERROR(B149/H149,""))</f>
        <v/>
      </c>
      <c r="J149" s="34">
        <f>IF(($K$7+90)&gt;$L$7,"",IFERROR(H149/E149,""))</f>
        <v/>
      </c>
    </row>
    <row r="150">
      <c r="A150" s="36">
        <f>IF(($K$7+91)&gt;$L$7,"",TEXT(($K$7+91),"DD.MM")&amp;" "&amp;CHOOSE(WEEKDAY(($K$7+91),2),"пн","вт","ср","чт","пт","сб","вс"))</f>
        <v/>
      </c>
      <c r="B150" s="37">
        <f>IF(($K$7+91)&gt;$L$7,"",SUMIFS('Данные'!$C:$C,'Данные'!$A:$A,"&gt;="&amp;($K$7+91),'Данные'!$A:$A,"&lt;"&amp;($K$7+91)+1,'Данные'!$B:$B,$B$3))</f>
        <v/>
      </c>
      <c r="C150" s="37">
        <f>IF(($K$7+91)&gt;$L$7,"",B150*(100+22)/100)</f>
        <v/>
      </c>
      <c r="D150" s="38">
        <f>IF(($K$7+91)&gt;$L$7,"",SUMIFS('Данные'!$D:$D,'Данные'!$A:$A,"&gt;="&amp;($K$7+91),'Данные'!$A:$A,"&lt;"&amp;($K$7+91)+1,'Данные'!$B:$B,$B$3))</f>
        <v/>
      </c>
      <c r="E150" s="38">
        <f>IF(($K$7+91)&gt;$L$7,"",SUMIFS('Данные'!$E:$E,'Данные'!$A:$A,"&gt;="&amp;($K$7+91),'Данные'!$A:$A,"&lt;"&amp;($K$7+91)+1,'Данные'!$B:$B,$B$3))</f>
        <v/>
      </c>
      <c r="F150" s="39">
        <f>IF(($K$7+91)&gt;$L$7,"",IFERROR(E150/D150,""))</f>
        <v/>
      </c>
      <c r="G150" s="40">
        <f>IF(($K$7+91)&gt;$L$7,"",IFERROR(B150/E150,""))</f>
        <v/>
      </c>
      <c r="H150" s="38">
        <f>IF(($K$7+91)&gt;$L$7,"",SUMIFS('Данные'!$F:$F,'Данные'!$A:$A,"&gt;="&amp;($K$7+91),'Данные'!$A:$A,"&lt;"&amp;($K$7+91)+1,'Данные'!$B:$B,$B$3))</f>
        <v/>
      </c>
      <c r="I150" s="40">
        <f>IF(($K$7+91)&gt;$L$7,"",IFERROR(B150/H150,""))</f>
        <v/>
      </c>
      <c r="J150" s="41">
        <f>IF(($K$7+91)&gt;$L$7,"",IFERROR(H150/E150,""))</f>
        <v/>
      </c>
    </row>
  </sheetData>
  <conditionalFormatting sqref="D9">
    <cfRule type="expression" priority="1" dxfId="0">
      <formula>AND(ISNUMBER(D9),D9&gt;0.005)</formula>
    </cfRule>
    <cfRule type="expression" priority="2" dxfId="1">
      <formula>AND(ISNUMBER(D9),D9&lt;-0.005)</formula>
    </cfRule>
  </conditionalFormatting>
  <conditionalFormatting sqref="E9">
    <cfRule type="expression" priority="3" dxfId="0">
      <formula>AND(ISNUMBER(E9),E9&gt;0.005)</formula>
    </cfRule>
    <cfRule type="expression" priority="4" dxfId="1">
      <formula>AND(ISNUMBER(E9),E9&lt;-0.005)</formula>
    </cfRule>
  </conditionalFormatting>
  <conditionalFormatting sqref="F9">
    <cfRule type="expression" priority="5" dxfId="0">
      <formula>AND(ISNUMBER(F9),F9&gt;0.005)</formula>
    </cfRule>
    <cfRule type="expression" priority="6" dxfId="1">
      <formula>AND(ISNUMBER(F9),F9&lt;-0.005)</formula>
    </cfRule>
  </conditionalFormatting>
  <conditionalFormatting sqref="G9">
    <cfRule type="expression" priority="7" dxfId="1">
      <formula>AND(ISNUMBER(G9),G9&gt;0.005)</formula>
    </cfRule>
    <cfRule type="expression" priority="8" dxfId="0">
      <formula>AND(ISNUMBER(G9),G9&lt;-0.005)</formula>
    </cfRule>
  </conditionalFormatting>
  <conditionalFormatting sqref="H9">
    <cfRule type="expression" priority="9" dxfId="0">
      <formula>AND(ISNUMBER(H9),H9&gt;0.005)</formula>
    </cfRule>
    <cfRule type="expression" priority="10" dxfId="1">
      <formula>AND(ISNUMBER(H9),H9&lt;-0.005)</formula>
    </cfRule>
  </conditionalFormatting>
  <conditionalFormatting sqref="I9">
    <cfRule type="expression" priority="11" dxfId="1">
      <formula>AND(ISNUMBER(I9),I9&gt;0.005)</formula>
    </cfRule>
    <cfRule type="expression" priority="12" dxfId="0">
      <formula>AND(ISNUMBER(I9),I9&lt;-0.005)</formula>
    </cfRule>
  </conditionalFormatting>
  <conditionalFormatting sqref="J9">
    <cfRule type="expression" priority="13" dxfId="0">
      <formula>AND(ISNUMBER(J9),J9&gt;0.005)</formula>
    </cfRule>
    <cfRule type="expression" priority="14" dxfId="1">
      <formula>AND(ISNUMBER(J9),J9&lt;-0.005)</formula>
    </cfRule>
  </conditionalFormatting>
  <conditionalFormatting sqref="I13:I38">
    <cfRule type="colorScale" priority="15">
      <colorScale>
        <cfvo type="min"/>
        <cfvo type="percentile" val="50"/>
        <cfvo type="max"/>
        <color rgb="00D8F0E0"/>
        <color rgb="00FFFFFF"/>
        <color rgb="00F8D7D5"/>
      </colorScale>
    </cfRule>
  </conditionalFormatting>
  <conditionalFormatting sqref="I43:I54">
    <cfRule type="colorScale" priority="16">
      <colorScale>
        <cfvo type="min"/>
        <cfvo type="percentile" val="50"/>
        <cfvo type="max"/>
        <color rgb="00D8F0E0"/>
        <color rgb="00FFFFFF"/>
        <color rgb="00F8D7D5"/>
      </colorScale>
    </cfRule>
  </conditionalFormatting>
  <conditionalFormatting sqref="I59:I150">
    <cfRule type="colorScale" priority="17">
      <colorScale>
        <cfvo type="min"/>
        <cfvo type="percentile" val="50"/>
        <cfvo type="max"/>
        <color rgb="00D8F0E0"/>
        <color rgb="00FFFFFF"/>
        <color rgb="00F8D7D5"/>
      </colorScale>
    </cfRule>
  </conditionalFormatting>
  <dataValidations count="1">
    <dataValidation sqref="H3 J3" showDropDown="0" showInputMessage="0" showErrorMessage="0" allowBlank="1" promptTitle="Период" prompt="Дата. Пусто — текущий месяц." type="date" operator="greaterThan">
      <formula1>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EB6834"/>
    <outlinePr summaryBelow="1" summaryRight="1"/>
    <pageSetUpPr/>
  </sheetPr>
  <dimension ref="A1:AM1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  <col width="3" customWidth="1" min="13" max="13"/>
  </cols>
  <sheetData>
    <row r="1" ht="34" customHeight="1">
      <c r="A1" s="1">
        <f>"Сова · "&amp;$B$3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</row>
    <row r="2">
      <c r="A2" s="3">
        <f>"Итоги всех кампаний кабинета VK Реклама · данные по "&amp;TEXT($E$3,"DD.MM.YYYY")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</row>
    <row r="3">
      <c r="A3" s="4" t="inlineStr">
        <is>
          <t>Направление</t>
        </is>
      </c>
      <c r="B3" s="5">
        <f>'⚙ Настройки'!$A$3</f>
        <v/>
      </c>
      <c r="D3" s="4" t="inlineStr">
        <is>
          <t>Данные по</t>
        </is>
      </c>
      <c r="E3" s="6">
        <f>'⚙ Настройки'!$B$7</f>
        <v/>
      </c>
      <c r="G3" s="7" t="inlineStr">
        <is>
          <t>Период с</t>
        </is>
      </c>
      <c r="H3" s="8" t="n"/>
      <c r="I3" s="7" t="inlineStr">
        <is>
          <t>по</t>
        </is>
      </c>
      <c r="J3" s="8" t="n"/>
      <c r="N3" s="9" t="inlineStr">
        <is>
          <t>📈 Подписки и расход по дням за период выше</t>
        </is>
      </c>
    </row>
    <row r="4">
      <c r="H4" s="10">
        <f>IF(AND(ISNUMBER(H3),ISNUMBER(J3),H3&gt;J3),"⚠ Дата «с» позже даты «по»",IF(OR(ISNUMBER(H3),ISNUMBER(J3)),"Сравнение — с предыдущим периодом той же длины. Очистите поля, чтобы вернуть текущий месяц.","Пусто — текущий месяц. Дату выбирают двойным щелчком."))</f>
        <v/>
      </c>
    </row>
    <row r="5">
      <c r="A5" s="9">
        <f>IF(OR(ISNUMBER($H$3),ISNUMBER($J$3)),"Выбранный период против предыдущего той же длины","Этот месяц против тех же дней прошлого")</f>
        <v/>
      </c>
    </row>
    <row r="6">
      <c r="A6" s="11" t="inlineStr">
        <is>
          <t>Период</t>
        </is>
      </c>
      <c r="B6" s="11" t="inlineStr">
        <is>
          <t>Расход</t>
        </is>
      </c>
      <c r="C6" s="11" t="inlineStr">
        <is>
          <t>Расход с НДС</t>
        </is>
      </c>
      <c r="D6" s="11" t="inlineStr">
        <is>
          <t>Показы</t>
        </is>
      </c>
      <c r="E6" s="11" t="inlineStr">
        <is>
          <t>Клики</t>
        </is>
      </c>
      <c r="F6" s="11" t="inlineStr">
        <is>
          <t>CTR</t>
        </is>
      </c>
      <c r="G6" s="11" t="inlineStr">
        <is>
          <t>CPC</t>
        </is>
      </c>
      <c r="H6" s="11" t="inlineStr">
        <is>
          <t>Подписки</t>
        </is>
      </c>
      <c r="I6" s="11" t="inlineStr">
        <is>
          <t>Цена подписки</t>
        </is>
      </c>
      <c r="J6" s="11" t="inlineStr">
        <is>
          <t>CR в подписку</t>
        </is>
      </c>
      <c r="K6" s="11" t="inlineStr">
        <is>
          <t>с</t>
        </is>
      </c>
      <c r="L6" s="11" t="inlineStr">
        <is>
          <t>по</t>
        </is>
      </c>
    </row>
    <row r="7" ht="26" customHeight="1">
      <c r="A7" s="12">
        <f>IF(OR(ISNUMBER($H$3),ISNUMBER($J$3)),"Выбранный период","Этот месяц")</f>
        <v/>
      </c>
      <c r="B7" s="13">
        <f>SUMIFS('Данные'!$C:$C,'Данные'!$A:$A,"&gt;="&amp;$K$7,'Данные'!$A:$A,"&lt;"&amp;$L$7+1,'Данные'!$B:$B,$B$3)</f>
        <v/>
      </c>
      <c r="C7" s="13">
        <f>B7*(100+22)/100</f>
        <v/>
      </c>
      <c r="D7" s="14">
        <f>SUMIFS('Данные'!$D:$D,'Данные'!$A:$A,"&gt;="&amp;$K$7,'Данные'!$A:$A,"&lt;"&amp;$L$7+1,'Данные'!$B:$B,$B$3)</f>
        <v/>
      </c>
      <c r="E7" s="14">
        <f>SUMIFS('Данные'!$E:$E,'Данные'!$A:$A,"&gt;="&amp;$K$7,'Данные'!$A:$A,"&lt;"&amp;$L$7+1,'Данные'!$B:$B,$B$3)</f>
        <v/>
      </c>
      <c r="F7" s="15">
        <f>IFERROR(E7/D7,"")</f>
        <v/>
      </c>
      <c r="G7" s="16">
        <f>IFERROR(B7/E7,"")</f>
        <v/>
      </c>
      <c r="H7" s="14">
        <f>SUMIFS('Данные'!$F:$F,'Данные'!$A:$A,"&gt;="&amp;$K$7,'Данные'!$A:$A,"&lt;"&amp;$L$7+1,'Данные'!$B:$B,$B$3)</f>
        <v/>
      </c>
      <c r="I7" s="16">
        <f>IFERROR(B7/H7,"")</f>
        <v/>
      </c>
      <c r="J7" s="17">
        <f>IFERROR(H7/E7,"")</f>
        <v/>
      </c>
      <c r="K7" s="18">
        <f>IF(ISNUMBER($H$3),$H$3,DATE(YEAR(L7),MONTH(L7),1))</f>
        <v/>
      </c>
      <c r="L7" s="18">
        <f>IF(ISNUMBER($J$3),$J$3,$E$3)</f>
        <v/>
      </c>
    </row>
    <row r="8">
      <c r="A8" s="19">
        <f>IF(OR(ISNUMBER($H$3),ISNUMBER($J$3)),"Предыдущий, той же длины","Прошлый, те же дни")</f>
        <v/>
      </c>
      <c r="B8" s="20">
        <f>SUMIFS('Данные'!$C:$C,'Данные'!$A:$A,"&gt;="&amp;$K$8,'Данные'!$A:$A,"&lt;"&amp;$L$8+1,'Данные'!$B:$B,$B$3)</f>
        <v/>
      </c>
      <c r="C8" s="20">
        <f>B8*(100+22)/100</f>
        <v/>
      </c>
      <c r="D8" s="21">
        <f>SUMIFS('Данные'!$D:$D,'Данные'!$A:$A,"&gt;="&amp;$K$8,'Данные'!$A:$A,"&lt;"&amp;$L$8+1,'Данные'!$B:$B,$B$3)</f>
        <v/>
      </c>
      <c r="E8" s="21">
        <f>SUMIFS('Данные'!$E:$E,'Данные'!$A:$A,"&gt;="&amp;$K$8,'Данные'!$A:$A,"&lt;"&amp;$L$8+1,'Данные'!$B:$B,$B$3)</f>
        <v/>
      </c>
      <c r="F8" s="22">
        <f>IFERROR(E8/D8,"")</f>
        <v/>
      </c>
      <c r="G8" s="23">
        <f>IFERROR(B8/E8,"")</f>
        <v/>
      </c>
      <c r="H8" s="21">
        <f>SUMIFS('Данные'!$F:$F,'Данные'!$A:$A,"&gt;="&amp;$K$8,'Данные'!$A:$A,"&lt;"&amp;$L$8+1,'Данные'!$B:$B,$B$3)</f>
        <v/>
      </c>
      <c r="I8" s="23">
        <f>IFERROR(B8/H8,"")</f>
        <v/>
      </c>
      <c r="J8" s="24">
        <f>IFERROR(H8/E8,"")</f>
        <v/>
      </c>
      <c r="K8" s="25">
        <f>IF(OR(ISNUMBER($H$3),ISNUMBER($J$3)),2*K7-L7-1,EDATE(K7,-1))</f>
        <v/>
      </c>
      <c r="L8" s="25">
        <f>IF(OR(ISNUMBER($H$3),ISNUMBER($J$3)),K7-1,EDATE(L7,-1))</f>
        <v/>
      </c>
    </row>
    <row r="9">
      <c r="A9" s="26" t="inlineStr">
        <is>
          <t>Изменение</t>
        </is>
      </c>
      <c r="B9" s="27">
        <f>IFERROR(B7/B8-1,"")</f>
        <v/>
      </c>
      <c r="C9" s="27">
        <f>IFERROR(C7/C8-1,"")</f>
        <v/>
      </c>
      <c r="D9" s="27">
        <f>IFERROR(D7/D8-1,"")</f>
        <v/>
      </c>
      <c r="E9" s="27">
        <f>IFERROR(E7/E8-1,"")</f>
        <v/>
      </c>
      <c r="F9" s="27">
        <f>IFERROR(F7/F8-1,"")</f>
        <v/>
      </c>
      <c r="G9" s="27">
        <f>IFERROR(G7/G8-1,"")</f>
        <v/>
      </c>
      <c r="H9" s="27">
        <f>IFERROR(H7/H8-1,"")</f>
        <v/>
      </c>
      <c r="I9" s="27">
        <f>IFERROR(I7/I8-1,"")</f>
        <v/>
      </c>
      <c r="J9" s="27">
        <f>IFERROR(J7/J8-1,"")</f>
        <v/>
      </c>
      <c r="K9" s="28" t="n"/>
      <c r="L9" s="28" t="n"/>
    </row>
    <row r="11">
      <c r="A11" s="9" t="inlineStr">
        <is>
          <t>🗓 По завершённым неделям (26)</t>
        </is>
      </c>
    </row>
    <row r="12">
      <c r="A12" s="11" t="inlineStr">
        <is>
          <t>Неделя</t>
        </is>
      </c>
      <c r="B12" s="11" t="inlineStr">
        <is>
          <t>Расход</t>
        </is>
      </c>
      <c r="C12" s="11" t="inlineStr">
        <is>
          <t>Расход с НДС</t>
        </is>
      </c>
      <c r="D12" s="11" t="inlineStr">
        <is>
          <t>Показы</t>
        </is>
      </c>
      <c r="E12" s="11" t="inlineStr">
        <is>
          <t>Клики</t>
        </is>
      </c>
      <c r="F12" s="11" t="inlineStr">
        <is>
          <t>CTR</t>
        </is>
      </c>
      <c r="G12" s="11" t="inlineStr">
        <is>
          <t>CPC</t>
        </is>
      </c>
      <c r="H12" s="11" t="inlineStr">
        <is>
          <t>Подписки</t>
        </is>
      </c>
      <c r="I12" s="11" t="inlineStr">
        <is>
          <t>Цена подписки</t>
        </is>
      </c>
      <c r="J12" s="11" t="inlineStr">
        <is>
          <t>CR в подписку</t>
        </is>
      </c>
    </row>
    <row r="13">
      <c r="A13" s="29">
        <f>TEXT((($E$3-WEEKDAY($E$3,2)+1-7*(WEEKDAY($E$3,2)&lt;7))-7*25),"DD.MM")&amp;"–"&amp;TEXT((($E$3-WEEKDAY($E$3,2)+1-7*(WEEKDAY($E$3,2)&lt;7))-7*25)+6,"DD.MM.YYYY")</f>
        <v/>
      </c>
      <c r="B13" s="30">
        <f>SUMIFS('Данные'!$C:$C,'Данные'!$A:$A,"&gt;="&amp;(($E$3-WEEKDAY($E$3,2)+1-7*(WEEKDAY($E$3,2)&lt;7))-7*25),'Данные'!$A:$A,"&lt;"&amp;((($E$3-WEEKDAY($E$3,2)+1-7*(WEEKDAY($E$3,2)&lt;7))-7*25)+6)+1,'Данные'!$B:$B,$B$3)</f>
        <v/>
      </c>
      <c r="C13" s="30">
        <f>B13*(100+22)/100</f>
        <v/>
      </c>
      <c r="D13" s="31">
        <f>SUMIFS('Данные'!$D:$D,'Данные'!$A:$A,"&gt;="&amp;(($E$3-WEEKDAY($E$3,2)+1-7*(WEEKDAY($E$3,2)&lt;7))-7*25),'Данные'!$A:$A,"&lt;"&amp;((($E$3-WEEKDAY($E$3,2)+1-7*(WEEKDAY($E$3,2)&lt;7))-7*25)+6)+1,'Данные'!$B:$B,$B$3)</f>
        <v/>
      </c>
      <c r="E13" s="31">
        <f>SUMIFS('Данные'!$E:$E,'Данные'!$A:$A,"&gt;="&amp;(($E$3-WEEKDAY($E$3,2)+1-7*(WEEKDAY($E$3,2)&lt;7))-7*25),'Данные'!$A:$A,"&lt;"&amp;((($E$3-WEEKDAY($E$3,2)+1-7*(WEEKDAY($E$3,2)&lt;7))-7*25)+6)+1,'Данные'!$B:$B,$B$3)</f>
        <v/>
      </c>
      <c r="F13" s="32">
        <f>IFERROR(E13/D13,"")</f>
        <v/>
      </c>
      <c r="G13" s="33">
        <f>IFERROR(B13/E13,"")</f>
        <v/>
      </c>
      <c r="H13" s="31">
        <f>SUMIFS('Данные'!$F:$F,'Данные'!$A:$A,"&gt;="&amp;(($E$3-WEEKDAY($E$3,2)+1-7*(WEEKDAY($E$3,2)&lt;7))-7*25),'Данные'!$A:$A,"&lt;"&amp;((($E$3-WEEKDAY($E$3,2)+1-7*(WEEKDAY($E$3,2)&lt;7))-7*25)+6)+1,'Данные'!$B:$B,$B$3)</f>
        <v/>
      </c>
      <c r="I13" s="33">
        <f>IFERROR(B13/H13,"")</f>
        <v/>
      </c>
      <c r="J13" s="34">
        <f>IFERROR(H13/E13,"")</f>
        <v/>
      </c>
    </row>
    <row r="14">
      <c r="A14" s="36">
        <f>TEXT((($E$3-WEEKDAY($E$3,2)+1-7*(WEEKDAY($E$3,2)&lt;7))-7*24),"DD.MM")&amp;"–"&amp;TEXT((($E$3-WEEKDAY($E$3,2)+1-7*(WEEKDAY($E$3,2)&lt;7))-7*24)+6,"DD.MM.YYYY")</f>
        <v/>
      </c>
      <c r="B14" s="37">
        <f>SUMIFS('Данные'!$C:$C,'Данные'!$A:$A,"&gt;="&amp;(($E$3-WEEKDAY($E$3,2)+1-7*(WEEKDAY($E$3,2)&lt;7))-7*24),'Данные'!$A:$A,"&lt;"&amp;((($E$3-WEEKDAY($E$3,2)+1-7*(WEEKDAY($E$3,2)&lt;7))-7*24)+6)+1,'Данные'!$B:$B,$B$3)</f>
        <v/>
      </c>
      <c r="C14" s="37">
        <f>B14*(100+22)/100</f>
        <v/>
      </c>
      <c r="D14" s="38">
        <f>SUMIFS('Данные'!$D:$D,'Данные'!$A:$A,"&gt;="&amp;(($E$3-WEEKDAY($E$3,2)+1-7*(WEEKDAY($E$3,2)&lt;7))-7*24),'Данные'!$A:$A,"&lt;"&amp;((($E$3-WEEKDAY($E$3,2)+1-7*(WEEKDAY($E$3,2)&lt;7))-7*24)+6)+1,'Данные'!$B:$B,$B$3)</f>
        <v/>
      </c>
      <c r="E14" s="38">
        <f>SUMIFS('Данные'!$E:$E,'Данные'!$A:$A,"&gt;="&amp;(($E$3-WEEKDAY($E$3,2)+1-7*(WEEKDAY($E$3,2)&lt;7))-7*24),'Данные'!$A:$A,"&lt;"&amp;((($E$3-WEEKDAY($E$3,2)+1-7*(WEEKDAY($E$3,2)&lt;7))-7*24)+6)+1,'Данные'!$B:$B,$B$3)</f>
        <v/>
      </c>
      <c r="F14" s="39">
        <f>IFERROR(E14/D14,"")</f>
        <v/>
      </c>
      <c r="G14" s="40">
        <f>IFERROR(B14/E14,"")</f>
        <v/>
      </c>
      <c r="H14" s="38">
        <f>SUMIFS('Данные'!$F:$F,'Данные'!$A:$A,"&gt;="&amp;(($E$3-WEEKDAY($E$3,2)+1-7*(WEEKDAY($E$3,2)&lt;7))-7*24),'Данные'!$A:$A,"&lt;"&amp;((($E$3-WEEKDAY($E$3,2)+1-7*(WEEKDAY($E$3,2)&lt;7))-7*24)+6)+1,'Данные'!$B:$B,$B$3)</f>
        <v/>
      </c>
      <c r="I14" s="40">
        <f>IFERROR(B14/H14,"")</f>
        <v/>
      </c>
      <c r="J14" s="41">
        <f>IFERROR(H14/E14,"")</f>
        <v/>
      </c>
    </row>
    <row r="15">
      <c r="A15" s="29">
        <f>TEXT((($E$3-WEEKDAY($E$3,2)+1-7*(WEEKDAY($E$3,2)&lt;7))-7*23),"DD.MM")&amp;"–"&amp;TEXT((($E$3-WEEKDAY($E$3,2)+1-7*(WEEKDAY($E$3,2)&lt;7))-7*23)+6,"DD.MM.YYYY")</f>
        <v/>
      </c>
      <c r="B15" s="30">
        <f>SUMIFS('Данные'!$C:$C,'Данные'!$A:$A,"&gt;="&amp;(($E$3-WEEKDAY($E$3,2)+1-7*(WEEKDAY($E$3,2)&lt;7))-7*23),'Данные'!$A:$A,"&lt;"&amp;((($E$3-WEEKDAY($E$3,2)+1-7*(WEEKDAY($E$3,2)&lt;7))-7*23)+6)+1,'Данные'!$B:$B,$B$3)</f>
        <v/>
      </c>
      <c r="C15" s="30">
        <f>B15*(100+22)/100</f>
        <v/>
      </c>
      <c r="D15" s="31">
        <f>SUMIFS('Данные'!$D:$D,'Данные'!$A:$A,"&gt;="&amp;(($E$3-WEEKDAY($E$3,2)+1-7*(WEEKDAY($E$3,2)&lt;7))-7*23),'Данные'!$A:$A,"&lt;"&amp;((($E$3-WEEKDAY($E$3,2)+1-7*(WEEKDAY($E$3,2)&lt;7))-7*23)+6)+1,'Данные'!$B:$B,$B$3)</f>
        <v/>
      </c>
      <c r="E15" s="31">
        <f>SUMIFS('Данные'!$E:$E,'Данные'!$A:$A,"&gt;="&amp;(($E$3-WEEKDAY($E$3,2)+1-7*(WEEKDAY($E$3,2)&lt;7))-7*23),'Данные'!$A:$A,"&lt;"&amp;((($E$3-WEEKDAY($E$3,2)+1-7*(WEEKDAY($E$3,2)&lt;7))-7*23)+6)+1,'Данные'!$B:$B,$B$3)</f>
        <v/>
      </c>
      <c r="F15" s="32">
        <f>IFERROR(E15/D15,"")</f>
        <v/>
      </c>
      <c r="G15" s="33">
        <f>IFERROR(B15/E15,"")</f>
        <v/>
      </c>
      <c r="H15" s="31">
        <f>SUMIFS('Данные'!$F:$F,'Данные'!$A:$A,"&gt;="&amp;(($E$3-WEEKDAY($E$3,2)+1-7*(WEEKDAY($E$3,2)&lt;7))-7*23),'Данные'!$A:$A,"&lt;"&amp;((($E$3-WEEKDAY($E$3,2)+1-7*(WEEKDAY($E$3,2)&lt;7))-7*23)+6)+1,'Данные'!$B:$B,$B$3)</f>
        <v/>
      </c>
      <c r="I15" s="33">
        <f>IFERROR(B15/H15,"")</f>
        <v/>
      </c>
      <c r="J15" s="34">
        <f>IFERROR(H15/E15,"")</f>
        <v/>
      </c>
    </row>
    <row r="16">
      <c r="A16" s="36">
        <f>TEXT((($E$3-WEEKDAY($E$3,2)+1-7*(WEEKDAY($E$3,2)&lt;7))-7*22),"DD.MM")&amp;"–"&amp;TEXT((($E$3-WEEKDAY($E$3,2)+1-7*(WEEKDAY($E$3,2)&lt;7))-7*22)+6,"DD.MM.YYYY")</f>
        <v/>
      </c>
      <c r="B16" s="37">
        <f>SUMIFS('Данные'!$C:$C,'Данные'!$A:$A,"&gt;="&amp;(($E$3-WEEKDAY($E$3,2)+1-7*(WEEKDAY($E$3,2)&lt;7))-7*22),'Данные'!$A:$A,"&lt;"&amp;((($E$3-WEEKDAY($E$3,2)+1-7*(WEEKDAY($E$3,2)&lt;7))-7*22)+6)+1,'Данные'!$B:$B,$B$3)</f>
        <v/>
      </c>
      <c r="C16" s="37">
        <f>B16*(100+22)/100</f>
        <v/>
      </c>
      <c r="D16" s="38">
        <f>SUMIFS('Данные'!$D:$D,'Данные'!$A:$A,"&gt;="&amp;(($E$3-WEEKDAY($E$3,2)+1-7*(WEEKDAY($E$3,2)&lt;7))-7*22),'Данные'!$A:$A,"&lt;"&amp;((($E$3-WEEKDAY($E$3,2)+1-7*(WEEKDAY($E$3,2)&lt;7))-7*22)+6)+1,'Данные'!$B:$B,$B$3)</f>
        <v/>
      </c>
      <c r="E16" s="38">
        <f>SUMIFS('Данные'!$E:$E,'Данные'!$A:$A,"&gt;="&amp;(($E$3-WEEKDAY($E$3,2)+1-7*(WEEKDAY($E$3,2)&lt;7))-7*22),'Данные'!$A:$A,"&lt;"&amp;((($E$3-WEEKDAY($E$3,2)+1-7*(WEEKDAY($E$3,2)&lt;7))-7*22)+6)+1,'Данные'!$B:$B,$B$3)</f>
        <v/>
      </c>
      <c r="F16" s="39">
        <f>IFERROR(E16/D16,"")</f>
        <v/>
      </c>
      <c r="G16" s="40">
        <f>IFERROR(B16/E16,"")</f>
        <v/>
      </c>
      <c r="H16" s="38">
        <f>SUMIFS('Данные'!$F:$F,'Данные'!$A:$A,"&gt;="&amp;(($E$3-WEEKDAY($E$3,2)+1-7*(WEEKDAY($E$3,2)&lt;7))-7*22),'Данные'!$A:$A,"&lt;"&amp;((($E$3-WEEKDAY($E$3,2)+1-7*(WEEKDAY($E$3,2)&lt;7))-7*22)+6)+1,'Данные'!$B:$B,$B$3)</f>
        <v/>
      </c>
      <c r="I16" s="40">
        <f>IFERROR(B16/H16,"")</f>
        <v/>
      </c>
      <c r="J16" s="41">
        <f>IFERROR(H16/E16,"")</f>
        <v/>
      </c>
    </row>
    <row r="17">
      <c r="A17" s="29">
        <f>TEXT((($E$3-WEEKDAY($E$3,2)+1-7*(WEEKDAY($E$3,2)&lt;7))-7*21),"DD.MM")&amp;"–"&amp;TEXT((($E$3-WEEKDAY($E$3,2)+1-7*(WEEKDAY($E$3,2)&lt;7))-7*21)+6,"DD.MM.YYYY")</f>
        <v/>
      </c>
      <c r="B17" s="30">
        <f>SUMIFS('Данные'!$C:$C,'Данные'!$A:$A,"&gt;="&amp;(($E$3-WEEKDAY($E$3,2)+1-7*(WEEKDAY($E$3,2)&lt;7))-7*21),'Данные'!$A:$A,"&lt;"&amp;((($E$3-WEEKDAY($E$3,2)+1-7*(WEEKDAY($E$3,2)&lt;7))-7*21)+6)+1,'Данные'!$B:$B,$B$3)</f>
        <v/>
      </c>
      <c r="C17" s="30">
        <f>B17*(100+22)/100</f>
        <v/>
      </c>
      <c r="D17" s="31">
        <f>SUMIFS('Данные'!$D:$D,'Данные'!$A:$A,"&gt;="&amp;(($E$3-WEEKDAY($E$3,2)+1-7*(WEEKDAY($E$3,2)&lt;7))-7*21),'Данные'!$A:$A,"&lt;"&amp;((($E$3-WEEKDAY($E$3,2)+1-7*(WEEKDAY($E$3,2)&lt;7))-7*21)+6)+1,'Данные'!$B:$B,$B$3)</f>
        <v/>
      </c>
      <c r="E17" s="31">
        <f>SUMIFS('Данные'!$E:$E,'Данные'!$A:$A,"&gt;="&amp;(($E$3-WEEKDAY($E$3,2)+1-7*(WEEKDAY($E$3,2)&lt;7))-7*21),'Данные'!$A:$A,"&lt;"&amp;((($E$3-WEEKDAY($E$3,2)+1-7*(WEEKDAY($E$3,2)&lt;7))-7*21)+6)+1,'Данные'!$B:$B,$B$3)</f>
        <v/>
      </c>
      <c r="F17" s="32">
        <f>IFERROR(E17/D17,"")</f>
        <v/>
      </c>
      <c r="G17" s="33">
        <f>IFERROR(B17/E17,"")</f>
        <v/>
      </c>
      <c r="H17" s="31">
        <f>SUMIFS('Данные'!$F:$F,'Данные'!$A:$A,"&gt;="&amp;(($E$3-WEEKDAY($E$3,2)+1-7*(WEEKDAY($E$3,2)&lt;7))-7*21),'Данные'!$A:$A,"&lt;"&amp;((($E$3-WEEKDAY($E$3,2)+1-7*(WEEKDAY($E$3,2)&lt;7))-7*21)+6)+1,'Данные'!$B:$B,$B$3)</f>
        <v/>
      </c>
      <c r="I17" s="33">
        <f>IFERROR(B17/H17,"")</f>
        <v/>
      </c>
      <c r="J17" s="34">
        <f>IFERROR(H17/E17,"")</f>
        <v/>
      </c>
    </row>
    <row r="18">
      <c r="A18" s="36">
        <f>TEXT((($E$3-WEEKDAY($E$3,2)+1-7*(WEEKDAY($E$3,2)&lt;7))-7*20),"DD.MM")&amp;"–"&amp;TEXT((($E$3-WEEKDAY($E$3,2)+1-7*(WEEKDAY($E$3,2)&lt;7))-7*20)+6,"DD.MM.YYYY")</f>
        <v/>
      </c>
      <c r="B18" s="37">
        <f>SUMIFS('Данные'!$C:$C,'Данные'!$A:$A,"&gt;="&amp;(($E$3-WEEKDAY($E$3,2)+1-7*(WEEKDAY($E$3,2)&lt;7))-7*20),'Данные'!$A:$A,"&lt;"&amp;((($E$3-WEEKDAY($E$3,2)+1-7*(WEEKDAY($E$3,2)&lt;7))-7*20)+6)+1,'Данные'!$B:$B,$B$3)</f>
        <v/>
      </c>
      <c r="C18" s="37">
        <f>B18*(100+22)/100</f>
        <v/>
      </c>
      <c r="D18" s="38">
        <f>SUMIFS('Данные'!$D:$D,'Данные'!$A:$A,"&gt;="&amp;(($E$3-WEEKDAY($E$3,2)+1-7*(WEEKDAY($E$3,2)&lt;7))-7*20),'Данные'!$A:$A,"&lt;"&amp;((($E$3-WEEKDAY($E$3,2)+1-7*(WEEKDAY($E$3,2)&lt;7))-7*20)+6)+1,'Данные'!$B:$B,$B$3)</f>
        <v/>
      </c>
      <c r="E18" s="38">
        <f>SUMIFS('Данные'!$E:$E,'Данные'!$A:$A,"&gt;="&amp;(($E$3-WEEKDAY($E$3,2)+1-7*(WEEKDAY($E$3,2)&lt;7))-7*20),'Данные'!$A:$A,"&lt;"&amp;((($E$3-WEEKDAY($E$3,2)+1-7*(WEEKDAY($E$3,2)&lt;7))-7*20)+6)+1,'Данные'!$B:$B,$B$3)</f>
        <v/>
      </c>
      <c r="F18" s="39">
        <f>IFERROR(E18/D18,"")</f>
        <v/>
      </c>
      <c r="G18" s="40">
        <f>IFERROR(B18/E18,"")</f>
        <v/>
      </c>
      <c r="H18" s="38">
        <f>SUMIFS('Данные'!$F:$F,'Данные'!$A:$A,"&gt;="&amp;(($E$3-WEEKDAY($E$3,2)+1-7*(WEEKDAY($E$3,2)&lt;7))-7*20),'Данные'!$A:$A,"&lt;"&amp;((($E$3-WEEKDAY($E$3,2)+1-7*(WEEKDAY($E$3,2)&lt;7))-7*20)+6)+1,'Данные'!$B:$B,$B$3)</f>
        <v/>
      </c>
      <c r="I18" s="40">
        <f>IFERROR(B18/H18,"")</f>
        <v/>
      </c>
      <c r="J18" s="41">
        <f>IFERROR(H18/E18,"")</f>
        <v/>
      </c>
    </row>
    <row r="19">
      <c r="A19" s="29">
        <f>TEXT((($E$3-WEEKDAY($E$3,2)+1-7*(WEEKDAY($E$3,2)&lt;7))-7*19),"DD.MM")&amp;"–"&amp;TEXT((($E$3-WEEKDAY($E$3,2)+1-7*(WEEKDAY($E$3,2)&lt;7))-7*19)+6,"DD.MM.YYYY")</f>
        <v/>
      </c>
      <c r="B19" s="30">
        <f>SUMIFS('Данные'!$C:$C,'Данные'!$A:$A,"&gt;="&amp;(($E$3-WEEKDAY($E$3,2)+1-7*(WEEKDAY($E$3,2)&lt;7))-7*19),'Данные'!$A:$A,"&lt;"&amp;((($E$3-WEEKDAY($E$3,2)+1-7*(WEEKDAY($E$3,2)&lt;7))-7*19)+6)+1,'Данные'!$B:$B,$B$3)</f>
        <v/>
      </c>
      <c r="C19" s="30">
        <f>B19*(100+22)/100</f>
        <v/>
      </c>
      <c r="D19" s="31">
        <f>SUMIFS('Данные'!$D:$D,'Данные'!$A:$A,"&gt;="&amp;(($E$3-WEEKDAY($E$3,2)+1-7*(WEEKDAY($E$3,2)&lt;7))-7*19),'Данные'!$A:$A,"&lt;"&amp;((($E$3-WEEKDAY($E$3,2)+1-7*(WEEKDAY($E$3,2)&lt;7))-7*19)+6)+1,'Данные'!$B:$B,$B$3)</f>
        <v/>
      </c>
      <c r="E19" s="31">
        <f>SUMIFS('Данные'!$E:$E,'Данные'!$A:$A,"&gt;="&amp;(($E$3-WEEKDAY($E$3,2)+1-7*(WEEKDAY($E$3,2)&lt;7))-7*19),'Данные'!$A:$A,"&lt;"&amp;((($E$3-WEEKDAY($E$3,2)+1-7*(WEEKDAY($E$3,2)&lt;7))-7*19)+6)+1,'Данные'!$B:$B,$B$3)</f>
        <v/>
      </c>
      <c r="F19" s="32">
        <f>IFERROR(E19/D19,"")</f>
        <v/>
      </c>
      <c r="G19" s="33">
        <f>IFERROR(B19/E19,"")</f>
        <v/>
      </c>
      <c r="H19" s="31">
        <f>SUMIFS('Данные'!$F:$F,'Данные'!$A:$A,"&gt;="&amp;(($E$3-WEEKDAY($E$3,2)+1-7*(WEEKDAY($E$3,2)&lt;7))-7*19),'Данные'!$A:$A,"&lt;"&amp;((($E$3-WEEKDAY($E$3,2)+1-7*(WEEKDAY($E$3,2)&lt;7))-7*19)+6)+1,'Данные'!$B:$B,$B$3)</f>
        <v/>
      </c>
      <c r="I19" s="33">
        <f>IFERROR(B19/H19,"")</f>
        <v/>
      </c>
      <c r="J19" s="34">
        <f>IFERROR(H19/E19,"")</f>
        <v/>
      </c>
    </row>
    <row r="20">
      <c r="A20" s="36">
        <f>TEXT((($E$3-WEEKDAY($E$3,2)+1-7*(WEEKDAY($E$3,2)&lt;7))-7*18),"DD.MM")&amp;"–"&amp;TEXT((($E$3-WEEKDAY($E$3,2)+1-7*(WEEKDAY($E$3,2)&lt;7))-7*18)+6,"DD.MM.YYYY")</f>
        <v/>
      </c>
      <c r="B20" s="37">
        <f>SUMIFS('Данные'!$C:$C,'Данные'!$A:$A,"&gt;="&amp;(($E$3-WEEKDAY($E$3,2)+1-7*(WEEKDAY($E$3,2)&lt;7))-7*18),'Данные'!$A:$A,"&lt;"&amp;((($E$3-WEEKDAY($E$3,2)+1-7*(WEEKDAY($E$3,2)&lt;7))-7*18)+6)+1,'Данные'!$B:$B,$B$3)</f>
        <v/>
      </c>
      <c r="C20" s="37">
        <f>B20*(100+22)/100</f>
        <v/>
      </c>
      <c r="D20" s="38">
        <f>SUMIFS('Данные'!$D:$D,'Данные'!$A:$A,"&gt;="&amp;(($E$3-WEEKDAY($E$3,2)+1-7*(WEEKDAY($E$3,2)&lt;7))-7*18),'Данные'!$A:$A,"&lt;"&amp;((($E$3-WEEKDAY($E$3,2)+1-7*(WEEKDAY($E$3,2)&lt;7))-7*18)+6)+1,'Данные'!$B:$B,$B$3)</f>
        <v/>
      </c>
      <c r="E20" s="38">
        <f>SUMIFS('Данные'!$E:$E,'Данные'!$A:$A,"&gt;="&amp;(($E$3-WEEKDAY($E$3,2)+1-7*(WEEKDAY($E$3,2)&lt;7))-7*18),'Данные'!$A:$A,"&lt;"&amp;((($E$3-WEEKDAY($E$3,2)+1-7*(WEEKDAY($E$3,2)&lt;7))-7*18)+6)+1,'Данные'!$B:$B,$B$3)</f>
        <v/>
      </c>
      <c r="F20" s="39">
        <f>IFERROR(E20/D20,"")</f>
        <v/>
      </c>
      <c r="G20" s="40">
        <f>IFERROR(B20/E20,"")</f>
        <v/>
      </c>
      <c r="H20" s="38">
        <f>SUMIFS('Данные'!$F:$F,'Данные'!$A:$A,"&gt;="&amp;(($E$3-WEEKDAY($E$3,2)+1-7*(WEEKDAY($E$3,2)&lt;7))-7*18),'Данные'!$A:$A,"&lt;"&amp;((($E$3-WEEKDAY($E$3,2)+1-7*(WEEKDAY($E$3,2)&lt;7))-7*18)+6)+1,'Данные'!$B:$B,$B$3)</f>
        <v/>
      </c>
      <c r="I20" s="40">
        <f>IFERROR(B20/H20,"")</f>
        <v/>
      </c>
      <c r="J20" s="41">
        <f>IFERROR(H20/E20,"")</f>
        <v/>
      </c>
    </row>
    <row r="21">
      <c r="A21" s="29">
        <f>TEXT((($E$3-WEEKDAY($E$3,2)+1-7*(WEEKDAY($E$3,2)&lt;7))-7*17),"DD.MM")&amp;"–"&amp;TEXT((($E$3-WEEKDAY($E$3,2)+1-7*(WEEKDAY($E$3,2)&lt;7))-7*17)+6,"DD.MM.YYYY")</f>
        <v/>
      </c>
      <c r="B21" s="30">
        <f>SUMIFS('Данные'!$C:$C,'Данные'!$A:$A,"&gt;="&amp;(($E$3-WEEKDAY($E$3,2)+1-7*(WEEKDAY($E$3,2)&lt;7))-7*17),'Данные'!$A:$A,"&lt;"&amp;((($E$3-WEEKDAY($E$3,2)+1-7*(WEEKDAY($E$3,2)&lt;7))-7*17)+6)+1,'Данные'!$B:$B,$B$3)</f>
        <v/>
      </c>
      <c r="C21" s="30">
        <f>B21*(100+22)/100</f>
        <v/>
      </c>
      <c r="D21" s="31">
        <f>SUMIFS('Данные'!$D:$D,'Данные'!$A:$A,"&gt;="&amp;(($E$3-WEEKDAY($E$3,2)+1-7*(WEEKDAY($E$3,2)&lt;7))-7*17),'Данные'!$A:$A,"&lt;"&amp;((($E$3-WEEKDAY($E$3,2)+1-7*(WEEKDAY($E$3,2)&lt;7))-7*17)+6)+1,'Данные'!$B:$B,$B$3)</f>
        <v/>
      </c>
      <c r="E21" s="31">
        <f>SUMIFS('Данные'!$E:$E,'Данные'!$A:$A,"&gt;="&amp;(($E$3-WEEKDAY($E$3,2)+1-7*(WEEKDAY($E$3,2)&lt;7))-7*17),'Данные'!$A:$A,"&lt;"&amp;((($E$3-WEEKDAY($E$3,2)+1-7*(WEEKDAY($E$3,2)&lt;7))-7*17)+6)+1,'Данные'!$B:$B,$B$3)</f>
        <v/>
      </c>
      <c r="F21" s="32">
        <f>IFERROR(E21/D21,"")</f>
        <v/>
      </c>
      <c r="G21" s="33">
        <f>IFERROR(B21/E21,"")</f>
        <v/>
      </c>
      <c r="H21" s="31">
        <f>SUMIFS('Данные'!$F:$F,'Данные'!$A:$A,"&gt;="&amp;(($E$3-WEEKDAY($E$3,2)+1-7*(WEEKDAY($E$3,2)&lt;7))-7*17),'Данные'!$A:$A,"&lt;"&amp;((($E$3-WEEKDAY($E$3,2)+1-7*(WEEKDAY($E$3,2)&lt;7))-7*17)+6)+1,'Данные'!$B:$B,$B$3)</f>
        <v/>
      </c>
      <c r="I21" s="33">
        <f>IFERROR(B21/H21,"")</f>
        <v/>
      </c>
      <c r="J21" s="34">
        <f>IFERROR(H21/E21,"")</f>
        <v/>
      </c>
    </row>
    <row r="22">
      <c r="A22" s="36">
        <f>TEXT((($E$3-WEEKDAY($E$3,2)+1-7*(WEEKDAY($E$3,2)&lt;7))-7*16),"DD.MM")&amp;"–"&amp;TEXT((($E$3-WEEKDAY($E$3,2)+1-7*(WEEKDAY($E$3,2)&lt;7))-7*16)+6,"DD.MM.YYYY")</f>
        <v/>
      </c>
      <c r="B22" s="37">
        <f>SUMIFS('Данные'!$C:$C,'Данные'!$A:$A,"&gt;="&amp;(($E$3-WEEKDAY($E$3,2)+1-7*(WEEKDAY($E$3,2)&lt;7))-7*16),'Данные'!$A:$A,"&lt;"&amp;((($E$3-WEEKDAY($E$3,2)+1-7*(WEEKDAY($E$3,2)&lt;7))-7*16)+6)+1,'Данные'!$B:$B,$B$3)</f>
        <v/>
      </c>
      <c r="C22" s="37">
        <f>B22*(100+22)/100</f>
        <v/>
      </c>
      <c r="D22" s="38">
        <f>SUMIFS('Данные'!$D:$D,'Данные'!$A:$A,"&gt;="&amp;(($E$3-WEEKDAY($E$3,2)+1-7*(WEEKDAY($E$3,2)&lt;7))-7*16),'Данные'!$A:$A,"&lt;"&amp;((($E$3-WEEKDAY($E$3,2)+1-7*(WEEKDAY($E$3,2)&lt;7))-7*16)+6)+1,'Данные'!$B:$B,$B$3)</f>
        <v/>
      </c>
      <c r="E22" s="38">
        <f>SUMIFS('Данные'!$E:$E,'Данные'!$A:$A,"&gt;="&amp;(($E$3-WEEKDAY($E$3,2)+1-7*(WEEKDAY($E$3,2)&lt;7))-7*16),'Данные'!$A:$A,"&lt;"&amp;((($E$3-WEEKDAY($E$3,2)+1-7*(WEEKDAY($E$3,2)&lt;7))-7*16)+6)+1,'Данные'!$B:$B,$B$3)</f>
        <v/>
      </c>
      <c r="F22" s="39">
        <f>IFERROR(E22/D22,"")</f>
        <v/>
      </c>
      <c r="G22" s="40">
        <f>IFERROR(B22/E22,"")</f>
        <v/>
      </c>
      <c r="H22" s="38">
        <f>SUMIFS('Данные'!$F:$F,'Данные'!$A:$A,"&gt;="&amp;(($E$3-WEEKDAY($E$3,2)+1-7*(WEEKDAY($E$3,2)&lt;7))-7*16),'Данные'!$A:$A,"&lt;"&amp;((($E$3-WEEKDAY($E$3,2)+1-7*(WEEKDAY($E$3,2)&lt;7))-7*16)+6)+1,'Данные'!$B:$B,$B$3)</f>
        <v/>
      </c>
      <c r="I22" s="40">
        <f>IFERROR(B22/H22,"")</f>
        <v/>
      </c>
      <c r="J22" s="41">
        <f>IFERROR(H22/E22,"")</f>
        <v/>
      </c>
    </row>
    <row r="23">
      <c r="A23" s="29">
        <f>TEXT((($E$3-WEEKDAY($E$3,2)+1-7*(WEEKDAY($E$3,2)&lt;7))-7*15),"DD.MM")&amp;"–"&amp;TEXT((($E$3-WEEKDAY($E$3,2)+1-7*(WEEKDAY($E$3,2)&lt;7))-7*15)+6,"DD.MM.YYYY")</f>
        <v/>
      </c>
      <c r="B23" s="30">
        <f>SUMIFS('Данные'!$C:$C,'Данные'!$A:$A,"&gt;="&amp;(($E$3-WEEKDAY($E$3,2)+1-7*(WEEKDAY($E$3,2)&lt;7))-7*15),'Данные'!$A:$A,"&lt;"&amp;((($E$3-WEEKDAY($E$3,2)+1-7*(WEEKDAY($E$3,2)&lt;7))-7*15)+6)+1,'Данные'!$B:$B,$B$3)</f>
        <v/>
      </c>
      <c r="C23" s="30">
        <f>B23*(100+22)/100</f>
        <v/>
      </c>
      <c r="D23" s="31">
        <f>SUMIFS('Данные'!$D:$D,'Данные'!$A:$A,"&gt;="&amp;(($E$3-WEEKDAY($E$3,2)+1-7*(WEEKDAY($E$3,2)&lt;7))-7*15),'Данные'!$A:$A,"&lt;"&amp;((($E$3-WEEKDAY($E$3,2)+1-7*(WEEKDAY($E$3,2)&lt;7))-7*15)+6)+1,'Данные'!$B:$B,$B$3)</f>
        <v/>
      </c>
      <c r="E23" s="31">
        <f>SUMIFS('Данные'!$E:$E,'Данные'!$A:$A,"&gt;="&amp;(($E$3-WEEKDAY($E$3,2)+1-7*(WEEKDAY($E$3,2)&lt;7))-7*15),'Данные'!$A:$A,"&lt;"&amp;((($E$3-WEEKDAY($E$3,2)+1-7*(WEEKDAY($E$3,2)&lt;7))-7*15)+6)+1,'Данные'!$B:$B,$B$3)</f>
        <v/>
      </c>
      <c r="F23" s="32">
        <f>IFERROR(E23/D23,"")</f>
        <v/>
      </c>
      <c r="G23" s="33">
        <f>IFERROR(B23/E23,"")</f>
        <v/>
      </c>
      <c r="H23" s="31">
        <f>SUMIFS('Данные'!$F:$F,'Данные'!$A:$A,"&gt;="&amp;(($E$3-WEEKDAY($E$3,2)+1-7*(WEEKDAY($E$3,2)&lt;7))-7*15),'Данные'!$A:$A,"&lt;"&amp;((($E$3-WEEKDAY($E$3,2)+1-7*(WEEKDAY($E$3,2)&lt;7))-7*15)+6)+1,'Данные'!$B:$B,$B$3)</f>
        <v/>
      </c>
      <c r="I23" s="33">
        <f>IFERROR(B23/H23,"")</f>
        <v/>
      </c>
      <c r="J23" s="34">
        <f>IFERROR(H23/E23,"")</f>
        <v/>
      </c>
    </row>
    <row r="24">
      <c r="A24" s="36">
        <f>TEXT((($E$3-WEEKDAY($E$3,2)+1-7*(WEEKDAY($E$3,2)&lt;7))-7*14),"DD.MM")&amp;"–"&amp;TEXT((($E$3-WEEKDAY($E$3,2)+1-7*(WEEKDAY($E$3,2)&lt;7))-7*14)+6,"DD.MM.YYYY")</f>
        <v/>
      </c>
      <c r="B24" s="37">
        <f>SUMIFS('Данные'!$C:$C,'Данные'!$A:$A,"&gt;="&amp;(($E$3-WEEKDAY($E$3,2)+1-7*(WEEKDAY($E$3,2)&lt;7))-7*14),'Данные'!$A:$A,"&lt;"&amp;((($E$3-WEEKDAY($E$3,2)+1-7*(WEEKDAY($E$3,2)&lt;7))-7*14)+6)+1,'Данные'!$B:$B,$B$3)</f>
        <v/>
      </c>
      <c r="C24" s="37">
        <f>B24*(100+22)/100</f>
        <v/>
      </c>
      <c r="D24" s="38">
        <f>SUMIFS('Данные'!$D:$D,'Данные'!$A:$A,"&gt;="&amp;(($E$3-WEEKDAY($E$3,2)+1-7*(WEEKDAY($E$3,2)&lt;7))-7*14),'Данные'!$A:$A,"&lt;"&amp;((($E$3-WEEKDAY($E$3,2)+1-7*(WEEKDAY($E$3,2)&lt;7))-7*14)+6)+1,'Данные'!$B:$B,$B$3)</f>
        <v/>
      </c>
      <c r="E24" s="38">
        <f>SUMIFS('Данные'!$E:$E,'Данные'!$A:$A,"&gt;="&amp;(($E$3-WEEKDAY($E$3,2)+1-7*(WEEKDAY($E$3,2)&lt;7))-7*14),'Данные'!$A:$A,"&lt;"&amp;((($E$3-WEEKDAY($E$3,2)+1-7*(WEEKDAY($E$3,2)&lt;7))-7*14)+6)+1,'Данные'!$B:$B,$B$3)</f>
        <v/>
      </c>
      <c r="F24" s="39">
        <f>IFERROR(E24/D24,"")</f>
        <v/>
      </c>
      <c r="G24" s="40">
        <f>IFERROR(B24/E24,"")</f>
        <v/>
      </c>
      <c r="H24" s="38">
        <f>SUMIFS('Данные'!$F:$F,'Данные'!$A:$A,"&gt;="&amp;(($E$3-WEEKDAY($E$3,2)+1-7*(WEEKDAY($E$3,2)&lt;7))-7*14),'Данные'!$A:$A,"&lt;"&amp;((($E$3-WEEKDAY($E$3,2)+1-7*(WEEKDAY($E$3,2)&lt;7))-7*14)+6)+1,'Данные'!$B:$B,$B$3)</f>
        <v/>
      </c>
      <c r="I24" s="40">
        <f>IFERROR(B24/H24,"")</f>
        <v/>
      </c>
      <c r="J24" s="41">
        <f>IFERROR(H24/E24,"")</f>
        <v/>
      </c>
    </row>
    <row r="25">
      <c r="A25" s="29">
        <f>TEXT((($E$3-WEEKDAY($E$3,2)+1-7*(WEEKDAY($E$3,2)&lt;7))-7*13),"DD.MM")&amp;"–"&amp;TEXT((($E$3-WEEKDAY($E$3,2)+1-7*(WEEKDAY($E$3,2)&lt;7))-7*13)+6,"DD.MM.YYYY")</f>
        <v/>
      </c>
      <c r="B25" s="30">
        <f>SUMIFS('Данные'!$C:$C,'Данные'!$A:$A,"&gt;="&amp;(($E$3-WEEKDAY($E$3,2)+1-7*(WEEKDAY($E$3,2)&lt;7))-7*13),'Данные'!$A:$A,"&lt;"&amp;((($E$3-WEEKDAY($E$3,2)+1-7*(WEEKDAY($E$3,2)&lt;7))-7*13)+6)+1,'Данные'!$B:$B,$B$3)</f>
        <v/>
      </c>
      <c r="C25" s="30">
        <f>B25*(100+22)/100</f>
        <v/>
      </c>
      <c r="D25" s="31">
        <f>SUMIFS('Данные'!$D:$D,'Данные'!$A:$A,"&gt;="&amp;(($E$3-WEEKDAY($E$3,2)+1-7*(WEEKDAY($E$3,2)&lt;7))-7*13),'Данные'!$A:$A,"&lt;"&amp;((($E$3-WEEKDAY($E$3,2)+1-7*(WEEKDAY($E$3,2)&lt;7))-7*13)+6)+1,'Данные'!$B:$B,$B$3)</f>
        <v/>
      </c>
      <c r="E25" s="31">
        <f>SUMIFS('Данные'!$E:$E,'Данные'!$A:$A,"&gt;="&amp;(($E$3-WEEKDAY($E$3,2)+1-7*(WEEKDAY($E$3,2)&lt;7))-7*13),'Данные'!$A:$A,"&lt;"&amp;((($E$3-WEEKDAY($E$3,2)+1-7*(WEEKDAY($E$3,2)&lt;7))-7*13)+6)+1,'Данные'!$B:$B,$B$3)</f>
        <v/>
      </c>
      <c r="F25" s="32">
        <f>IFERROR(E25/D25,"")</f>
        <v/>
      </c>
      <c r="G25" s="33">
        <f>IFERROR(B25/E25,"")</f>
        <v/>
      </c>
      <c r="H25" s="31">
        <f>SUMIFS('Данные'!$F:$F,'Данные'!$A:$A,"&gt;="&amp;(($E$3-WEEKDAY($E$3,2)+1-7*(WEEKDAY($E$3,2)&lt;7))-7*13),'Данные'!$A:$A,"&lt;"&amp;((($E$3-WEEKDAY($E$3,2)+1-7*(WEEKDAY($E$3,2)&lt;7))-7*13)+6)+1,'Данные'!$B:$B,$B$3)</f>
        <v/>
      </c>
      <c r="I25" s="33">
        <f>IFERROR(B25/H25,"")</f>
        <v/>
      </c>
      <c r="J25" s="34">
        <f>IFERROR(H25/E25,"")</f>
        <v/>
      </c>
    </row>
    <row r="26">
      <c r="A26" s="36">
        <f>TEXT((($E$3-WEEKDAY($E$3,2)+1-7*(WEEKDAY($E$3,2)&lt;7))-7*12),"DD.MM")&amp;"–"&amp;TEXT((($E$3-WEEKDAY($E$3,2)+1-7*(WEEKDAY($E$3,2)&lt;7))-7*12)+6,"DD.MM.YYYY")</f>
        <v/>
      </c>
      <c r="B26" s="37">
        <f>SUMIFS('Данные'!$C:$C,'Данные'!$A:$A,"&gt;="&amp;(($E$3-WEEKDAY($E$3,2)+1-7*(WEEKDAY($E$3,2)&lt;7))-7*12),'Данные'!$A:$A,"&lt;"&amp;((($E$3-WEEKDAY($E$3,2)+1-7*(WEEKDAY($E$3,2)&lt;7))-7*12)+6)+1,'Данные'!$B:$B,$B$3)</f>
        <v/>
      </c>
      <c r="C26" s="37">
        <f>B26*(100+22)/100</f>
        <v/>
      </c>
      <c r="D26" s="38">
        <f>SUMIFS('Данные'!$D:$D,'Данные'!$A:$A,"&gt;="&amp;(($E$3-WEEKDAY($E$3,2)+1-7*(WEEKDAY($E$3,2)&lt;7))-7*12),'Данные'!$A:$A,"&lt;"&amp;((($E$3-WEEKDAY($E$3,2)+1-7*(WEEKDAY($E$3,2)&lt;7))-7*12)+6)+1,'Данные'!$B:$B,$B$3)</f>
        <v/>
      </c>
      <c r="E26" s="38">
        <f>SUMIFS('Данные'!$E:$E,'Данные'!$A:$A,"&gt;="&amp;(($E$3-WEEKDAY($E$3,2)+1-7*(WEEKDAY($E$3,2)&lt;7))-7*12),'Данные'!$A:$A,"&lt;"&amp;((($E$3-WEEKDAY($E$3,2)+1-7*(WEEKDAY($E$3,2)&lt;7))-7*12)+6)+1,'Данные'!$B:$B,$B$3)</f>
        <v/>
      </c>
      <c r="F26" s="39">
        <f>IFERROR(E26/D26,"")</f>
        <v/>
      </c>
      <c r="G26" s="40">
        <f>IFERROR(B26/E26,"")</f>
        <v/>
      </c>
      <c r="H26" s="38">
        <f>SUMIFS('Данные'!$F:$F,'Данные'!$A:$A,"&gt;="&amp;(($E$3-WEEKDAY($E$3,2)+1-7*(WEEKDAY($E$3,2)&lt;7))-7*12),'Данные'!$A:$A,"&lt;"&amp;((($E$3-WEEKDAY($E$3,2)+1-7*(WEEKDAY($E$3,2)&lt;7))-7*12)+6)+1,'Данные'!$B:$B,$B$3)</f>
        <v/>
      </c>
      <c r="I26" s="40">
        <f>IFERROR(B26/H26,"")</f>
        <v/>
      </c>
      <c r="J26" s="41">
        <f>IFERROR(H26/E26,"")</f>
        <v/>
      </c>
    </row>
    <row r="27">
      <c r="A27" s="29">
        <f>TEXT((($E$3-WEEKDAY($E$3,2)+1-7*(WEEKDAY($E$3,2)&lt;7))-7*11),"DD.MM")&amp;"–"&amp;TEXT((($E$3-WEEKDAY($E$3,2)+1-7*(WEEKDAY($E$3,2)&lt;7))-7*11)+6,"DD.MM.YYYY")</f>
        <v/>
      </c>
      <c r="B27" s="30">
        <f>SUMIFS('Данные'!$C:$C,'Данные'!$A:$A,"&gt;="&amp;(($E$3-WEEKDAY($E$3,2)+1-7*(WEEKDAY($E$3,2)&lt;7))-7*11),'Данные'!$A:$A,"&lt;"&amp;((($E$3-WEEKDAY($E$3,2)+1-7*(WEEKDAY($E$3,2)&lt;7))-7*11)+6)+1,'Данные'!$B:$B,$B$3)</f>
        <v/>
      </c>
      <c r="C27" s="30">
        <f>B27*(100+22)/100</f>
        <v/>
      </c>
      <c r="D27" s="31">
        <f>SUMIFS('Данные'!$D:$D,'Данные'!$A:$A,"&gt;="&amp;(($E$3-WEEKDAY($E$3,2)+1-7*(WEEKDAY($E$3,2)&lt;7))-7*11),'Данные'!$A:$A,"&lt;"&amp;((($E$3-WEEKDAY($E$3,2)+1-7*(WEEKDAY($E$3,2)&lt;7))-7*11)+6)+1,'Данные'!$B:$B,$B$3)</f>
        <v/>
      </c>
      <c r="E27" s="31">
        <f>SUMIFS('Данные'!$E:$E,'Данные'!$A:$A,"&gt;="&amp;(($E$3-WEEKDAY($E$3,2)+1-7*(WEEKDAY($E$3,2)&lt;7))-7*11),'Данные'!$A:$A,"&lt;"&amp;((($E$3-WEEKDAY($E$3,2)+1-7*(WEEKDAY($E$3,2)&lt;7))-7*11)+6)+1,'Данные'!$B:$B,$B$3)</f>
        <v/>
      </c>
      <c r="F27" s="32">
        <f>IFERROR(E27/D27,"")</f>
        <v/>
      </c>
      <c r="G27" s="33">
        <f>IFERROR(B27/E27,"")</f>
        <v/>
      </c>
      <c r="H27" s="31">
        <f>SUMIFS('Данные'!$F:$F,'Данные'!$A:$A,"&gt;="&amp;(($E$3-WEEKDAY($E$3,2)+1-7*(WEEKDAY($E$3,2)&lt;7))-7*11),'Данные'!$A:$A,"&lt;"&amp;((($E$3-WEEKDAY($E$3,2)+1-7*(WEEKDAY($E$3,2)&lt;7))-7*11)+6)+1,'Данные'!$B:$B,$B$3)</f>
        <v/>
      </c>
      <c r="I27" s="33">
        <f>IFERROR(B27/H27,"")</f>
        <v/>
      </c>
      <c r="J27" s="34">
        <f>IFERROR(H27/E27,"")</f>
        <v/>
      </c>
    </row>
    <row r="28">
      <c r="A28" s="36">
        <f>TEXT((($E$3-WEEKDAY($E$3,2)+1-7*(WEEKDAY($E$3,2)&lt;7))-7*10),"DD.MM")&amp;"–"&amp;TEXT((($E$3-WEEKDAY($E$3,2)+1-7*(WEEKDAY($E$3,2)&lt;7))-7*10)+6,"DD.MM.YYYY")</f>
        <v/>
      </c>
      <c r="B28" s="37">
        <f>SUMIFS('Данные'!$C:$C,'Данные'!$A:$A,"&gt;="&amp;(($E$3-WEEKDAY($E$3,2)+1-7*(WEEKDAY($E$3,2)&lt;7))-7*10),'Данные'!$A:$A,"&lt;"&amp;((($E$3-WEEKDAY($E$3,2)+1-7*(WEEKDAY($E$3,2)&lt;7))-7*10)+6)+1,'Данные'!$B:$B,$B$3)</f>
        <v/>
      </c>
      <c r="C28" s="37">
        <f>B28*(100+22)/100</f>
        <v/>
      </c>
      <c r="D28" s="38">
        <f>SUMIFS('Данные'!$D:$D,'Данные'!$A:$A,"&gt;="&amp;(($E$3-WEEKDAY($E$3,2)+1-7*(WEEKDAY($E$3,2)&lt;7))-7*10),'Данные'!$A:$A,"&lt;"&amp;((($E$3-WEEKDAY($E$3,2)+1-7*(WEEKDAY($E$3,2)&lt;7))-7*10)+6)+1,'Данные'!$B:$B,$B$3)</f>
        <v/>
      </c>
      <c r="E28" s="38">
        <f>SUMIFS('Данные'!$E:$E,'Данные'!$A:$A,"&gt;="&amp;(($E$3-WEEKDAY($E$3,2)+1-7*(WEEKDAY($E$3,2)&lt;7))-7*10),'Данные'!$A:$A,"&lt;"&amp;((($E$3-WEEKDAY($E$3,2)+1-7*(WEEKDAY($E$3,2)&lt;7))-7*10)+6)+1,'Данные'!$B:$B,$B$3)</f>
        <v/>
      </c>
      <c r="F28" s="39">
        <f>IFERROR(E28/D28,"")</f>
        <v/>
      </c>
      <c r="G28" s="40">
        <f>IFERROR(B28/E28,"")</f>
        <v/>
      </c>
      <c r="H28" s="38">
        <f>SUMIFS('Данные'!$F:$F,'Данные'!$A:$A,"&gt;="&amp;(($E$3-WEEKDAY($E$3,2)+1-7*(WEEKDAY($E$3,2)&lt;7))-7*10),'Данные'!$A:$A,"&lt;"&amp;((($E$3-WEEKDAY($E$3,2)+1-7*(WEEKDAY($E$3,2)&lt;7))-7*10)+6)+1,'Данные'!$B:$B,$B$3)</f>
        <v/>
      </c>
      <c r="I28" s="40">
        <f>IFERROR(B28/H28,"")</f>
        <v/>
      </c>
      <c r="J28" s="41">
        <f>IFERROR(H28/E28,"")</f>
        <v/>
      </c>
    </row>
    <row r="29">
      <c r="A29" s="29">
        <f>TEXT((($E$3-WEEKDAY($E$3,2)+1-7*(WEEKDAY($E$3,2)&lt;7))-7*9),"DD.MM")&amp;"–"&amp;TEXT((($E$3-WEEKDAY($E$3,2)+1-7*(WEEKDAY($E$3,2)&lt;7))-7*9)+6,"DD.MM.YYYY")</f>
        <v/>
      </c>
      <c r="B29" s="30">
        <f>SUMIFS('Данные'!$C:$C,'Данные'!$A:$A,"&gt;="&amp;(($E$3-WEEKDAY($E$3,2)+1-7*(WEEKDAY($E$3,2)&lt;7))-7*9),'Данные'!$A:$A,"&lt;"&amp;((($E$3-WEEKDAY($E$3,2)+1-7*(WEEKDAY($E$3,2)&lt;7))-7*9)+6)+1,'Данные'!$B:$B,$B$3)</f>
        <v/>
      </c>
      <c r="C29" s="30">
        <f>B29*(100+22)/100</f>
        <v/>
      </c>
      <c r="D29" s="31">
        <f>SUMIFS('Данные'!$D:$D,'Данные'!$A:$A,"&gt;="&amp;(($E$3-WEEKDAY($E$3,2)+1-7*(WEEKDAY($E$3,2)&lt;7))-7*9),'Данные'!$A:$A,"&lt;"&amp;((($E$3-WEEKDAY($E$3,2)+1-7*(WEEKDAY($E$3,2)&lt;7))-7*9)+6)+1,'Данные'!$B:$B,$B$3)</f>
        <v/>
      </c>
      <c r="E29" s="31">
        <f>SUMIFS('Данные'!$E:$E,'Данные'!$A:$A,"&gt;="&amp;(($E$3-WEEKDAY($E$3,2)+1-7*(WEEKDAY($E$3,2)&lt;7))-7*9),'Данные'!$A:$A,"&lt;"&amp;((($E$3-WEEKDAY($E$3,2)+1-7*(WEEKDAY($E$3,2)&lt;7))-7*9)+6)+1,'Данные'!$B:$B,$B$3)</f>
        <v/>
      </c>
      <c r="F29" s="32">
        <f>IFERROR(E29/D29,"")</f>
        <v/>
      </c>
      <c r="G29" s="33">
        <f>IFERROR(B29/E29,"")</f>
        <v/>
      </c>
      <c r="H29" s="31">
        <f>SUMIFS('Данные'!$F:$F,'Данные'!$A:$A,"&gt;="&amp;(($E$3-WEEKDAY($E$3,2)+1-7*(WEEKDAY($E$3,2)&lt;7))-7*9),'Данные'!$A:$A,"&lt;"&amp;((($E$3-WEEKDAY($E$3,2)+1-7*(WEEKDAY($E$3,2)&lt;7))-7*9)+6)+1,'Данные'!$B:$B,$B$3)</f>
        <v/>
      </c>
      <c r="I29" s="33">
        <f>IFERROR(B29/H29,"")</f>
        <v/>
      </c>
      <c r="J29" s="34">
        <f>IFERROR(H29/E29,"")</f>
        <v/>
      </c>
    </row>
    <row r="30">
      <c r="A30" s="36">
        <f>TEXT((($E$3-WEEKDAY($E$3,2)+1-7*(WEEKDAY($E$3,2)&lt;7))-7*8),"DD.MM")&amp;"–"&amp;TEXT((($E$3-WEEKDAY($E$3,2)+1-7*(WEEKDAY($E$3,2)&lt;7))-7*8)+6,"DD.MM.YYYY")</f>
        <v/>
      </c>
      <c r="B30" s="37">
        <f>SUMIFS('Данные'!$C:$C,'Данные'!$A:$A,"&gt;="&amp;(($E$3-WEEKDAY($E$3,2)+1-7*(WEEKDAY($E$3,2)&lt;7))-7*8),'Данные'!$A:$A,"&lt;"&amp;((($E$3-WEEKDAY($E$3,2)+1-7*(WEEKDAY($E$3,2)&lt;7))-7*8)+6)+1,'Данные'!$B:$B,$B$3)</f>
        <v/>
      </c>
      <c r="C30" s="37">
        <f>B30*(100+22)/100</f>
        <v/>
      </c>
      <c r="D30" s="38">
        <f>SUMIFS('Данные'!$D:$D,'Данные'!$A:$A,"&gt;="&amp;(($E$3-WEEKDAY($E$3,2)+1-7*(WEEKDAY($E$3,2)&lt;7))-7*8),'Данные'!$A:$A,"&lt;"&amp;((($E$3-WEEKDAY($E$3,2)+1-7*(WEEKDAY($E$3,2)&lt;7))-7*8)+6)+1,'Данные'!$B:$B,$B$3)</f>
        <v/>
      </c>
      <c r="E30" s="38">
        <f>SUMIFS('Данные'!$E:$E,'Данные'!$A:$A,"&gt;="&amp;(($E$3-WEEKDAY($E$3,2)+1-7*(WEEKDAY($E$3,2)&lt;7))-7*8),'Данные'!$A:$A,"&lt;"&amp;((($E$3-WEEKDAY($E$3,2)+1-7*(WEEKDAY($E$3,2)&lt;7))-7*8)+6)+1,'Данные'!$B:$B,$B$3)</f>
        <v/>
      </c>
      <c r="F30" s="39">
        <f>IFERROR(E30/D30,"")</f>
        <v/>
      </c>
      <c r="G30" s="40">
        <f>IFERROR(B30/E30,"")</f>
        <v/>
      </c>
      <c r="H30" s="38">
        <f>SUMIFS('Данные'!$F:$F,'Данные'!$A:$A,"&gt;="&amp;(($E$3-WEEKDAY($E$3,2)+1-7*(WEEKDAY($E$3,2)&lt;7))-7*8),'Данные'!$A:$A,"&lt;"&amp;((($E$3-WEEKDAY($E$3,2)+1-7*(WEEKDAY($E$3,2)&lt;7))-7*8)+6)+1,'Данные'!$B:$B,$B$3)</f>
        <v/>
      </c>
      <c r="I30" s="40">
        <f>IFERROR(B30/H30,"")</f>
        <v/>
      </c>
      <c r="J30" s="41">
        <f>IFERROR(H30/E30,"")</f>
        <v/>
      </c>
    </row>
    <row r="31">
      <c r="A31" s="29">
        <f>TEXT((($E$3-WEEKDAY($E$3,2)+1-7*(WEEKDAY($E$3,2)&lt;7))-7*7),"DD.MM")&amp;"–"&amp;TEXT((($E$3-WEEKDAY($E$3,2)+1-7*(WEEKDAY($E$3,2)&lt;7))-7*7)+6,"DD.MM.YYYY")</f>
        <v/>
      </c>
      <c r="B31" s="30">
        <f>SUMIFS('Данные'!$C:$C,'Данные'!$A:$A,"&gt;="&amp;(($E$3-WEEKDAY($E$3,2)+1-7*(WEEKDAY($E$3,2)&lt;7))-7*7),'Данные'!$A:$A,"&lt;"&amp;((($E$3-WEEKDAY($E$3,2)+1-7*(WEEKDAY($E$3,2)&lt;7))-7*7)+6)+1,'Данные'!$B:$B,$B$3)</f>
        <v/>
      </c>
      <c r="C31" s="30">
        <f>B31*(100+22)/100</f>
        <v/>
      </c>
      <c r="D31" s="31">
        <f>SUMIFS('Данные'!$D:$D,'Данные'!$A:$A,"&gt;="&amp;(($E$3-WEEKDAY($E$3,2)+1-7*(WEEKDAY($E$3,2)&lt;7))-7*7),'Данные'!$A:$A,"&lt;"&amp;((($E$3-WEEKDAY($E$3,2)+1-7*(WEEKDAY($E$3,2)&lt;7))-7*7)+6)+1,'Данные'!$B:$B,$B$3)</f>
        <v/>
      </c>
      <c r="E31" s="31">
        <f>SUMIFS('Данные'!$E:$E,'Данные'!$A:$A,"&gt;="&amp;(($E$3-WEEKDAY($E$3,2)+1-7*(WEEKDAY($E$3,2)&lt;7))-7*7),'Данные'!$A:$A,"&lt;"&amp;((($E$3-WEEKDAY($E$3,2)+1-7*(WEEKDAY($E$3,2)&lt;7))-7*7)+6)+1,'Данные'!$B:$B,$B$3)</f>
        <v/>
      </c>
      <c r="F31" s="32">
        <f>IFERROR(E31/D31,"")</f>
        <v/>
      </c>
      <c r="G31" s="33">
        <f>IFERROR(B31/E31,"")</f>
        <v/>
      </c>
      <c r="H31" s="31">
        <f>SUMIFS('Данные'!$F:$F,'Данные'!$A:$A,"&gt;="&amp;(($E$3-WEEKDAY($E$3,2)+1-7*(WEEKDAY($E$3,2)&lt;7))-7*7),'Данные'!$A:$A,"&lt;"&amp;((($E$3-WEEKDAY($E$3,2)+1-7*(WEEKDAY($E$3,2)&lt;7))-7*7)+6)+1,'Данные'!$B:$B,$B$3)</f>
        <v/>
      </c>
      <c r="I31" s="33">
        <f>IFERROR(B31/H31,"")</f>
        <v/>
      </c>
      <c r="J31" s="34">
        <f>IFERROR(H31/E31,"")</f>
        <v/>
      </c>
    </row>
    <row r="32">
      <c r="A32" s="36">
        <f>TEXT((($E$3-WEEKDAY($E$3,2)+1-7*(WEEKDAY($E$3,2)&lt;7))-7*6),"DD.MM")&amp;"–"&amp;TEXT((($E$3-WEEKDAY($E$3,2)+1-7*(WEEKDAY($E$3,2)&lt;7))-7*6)+6,"DD.MM.YYYY")</f>
        <v/>
      </c>
      <c r="B32" s="37">
        <f>SUMIFS('Данные'!$C:$C,'Данные'!$A:$A,"&gt;="&amp;(($E$3-WEEKDAY($E$3,2)+1-7*(WEEKDAY($E$3,2)&lt;7))-7*6),'Данные'!$A:$A,"&lt;"&amp;((($E$3-WEEKDAY($E$3,2)+1-7*(WEEKDAY($E$3,2)&lt;7))-7*6)+6)+1,'Данные'!$B:$B,$B$3)</f>
        <v/>
      </c>
      <c r="C32" s="37">
        <f>B32*(100+22)/100</f>
        <v/>
      </c>
      <c r="D32" s="38">
        <f>SUMIFS('Данные'!$D:$D,'Данные'!$A:$A,"&gt;="&amp;(($E$3-WEEKDAY($E$3,2)+1-7*(WEEKDAY($E$3,2)&lt;7))-7*6),'Данные'!$A:$A,"&lt;"&amp;((($E$3-WEEKDAY($E$3,2)+1-7*(WEEKDAY($E$3,2)&lt;7))-7*6)+6)+1,'Данные'!$B:$B,$B$3)</f>
        <v/>
      </c>
      <c r="E32" s="38">
        <f>SUMIFS('Данные'!$E:$E,'Данные'!$A:$A,"&gt;="&amp;(($E$3-WEEKDAY($E$3,2)+1-7*(WEEKDAY($E$3,2)&lt;7))-7*6),'Данные'!$A:$A,"&lt;"&amp;((($E$3-WEEKDAY($E$3,2)+1-7*(WEEKDAY($E$3,2)&lt;7))-7*6)+6)+1,'Данные'!$B:$B,$B$3)</f>
        <v/>
      </c>
      <c r="F32" s="39">
        <f>IFERROR(E32/D32,"")</f>
        <v/>
      </c>
      <c r="G32" s="40">
        <f>IFERROR(B32/E32,"")</f>
        <v/>
      </c>
      <c r="H32" s="38">
        <f>SUMIFS('Данные'!$F:$F,'Данные'!$A:$A,"&gt;="&amp;(($E$3-WEEKDAY($E$3,2)+1-7*(WEEKDAY($E$3,2)&lt;7))-7*6),'Данные'!$A:$A,"&lt;"&amp;((($E$3-WEEKDAY($E$3,2)+1-7*(WEEKDAY($E$3,2)&lt;7))-7*6)+6)+1,'Данные'!$B:$B,$B$3)</f>
        <v/>
      </c>
      <c r="I32" s="40">
        <f>IFERROR(B32/H32,"")</f>
        <v/>
      </c>
      <c r="J32" s="41">
        <f>IFERROR(H32/E32,"")</f>
        <v/>
      </c>
    </row>
    <row r="33">
      <c r="A33" s="29">
        <f>TEXT((($E$3-WEEKDAY($E$3,2)+1-7*(WEEKDAY($E$3,2)&lt;7))-7*5),"DD.MM")&amp;"–"&amp;TEXT((($E$3-WEEKDAY($E$3,2)+1-7*(WEEKDAY($E$3,2)&lt;7))-7*5)+6,"DD.MM.YYYY")</f>
        <v/>
      </c>
      <c r="B33" s="30">
        <f>SUMIFS('Данные'!$C:$C,'Данные'!$A:$A,"&gt;="&amp;(($E$3-WEEKDAY($E$3,2)+1-7*(WEEKDAY($E$3,2)&lt;7))-7*5),'Данные'!$A:$A,"&lt;"&amp;((($E$3-WEEKDAY($E$3,2)+1-7*(WEEKDAY($E$3,2)&lt;7))-7*5)+6)+1,'Данные'!$B:$B,$B$3)</f>
        <v/>
      </c>
      <c r="C33" s="30">
        <f>B33*(100+22)/100</f>
        <v/>
      </c>
      <c r="D33" s="31">
        <f>SUMIFS('Данные'!$D:$D,'Данные'!$A:$A,"&gt;="&amp;(($E$3-WEEKDAY($E$3,2)+1-7*(WEEKDAY($E$3,2)&lt;7))-7*5),'Данные'!$A:$A,"&lt;"&amp;((($E$3-WEEKDAY($E$3,2)+1-7*(WEEKDAY($E$3,2)&lt;7))-7*5)+6)+1,'Данные'!$B:$B,$B$3)</f>
        <v/>
      </c>
      <c r="E33" s="31">
        <f>SUMIFS('Данные'!$E:$E,'Данные'!$A:$A,"&gt;="&amp;(($E$3-WEEKDAY($E$3,2)+1-7*(WEEKDAY($E$3,2)&lt;7))-7*5),'Данные'!$A:$A,"&lt;"&amp;((($E$3-WEEKDAY($E$3,2)+1-7*(WEEKDAY($E$3,2)&lt;7))-7*5)+6)+1,'Данные'!$B:$B,$B$3)</f>
        <v/>
      </c>
      <c r="F33" s="32">
        <f>IFERROR(E33/D33,"")</f>
        <v/>
      </c>
      <c r="G33" s="33">
        <f>IFERROR(B33/E33,"")</f>
        <v/>
      </c>
      <c r="H33" s="31">
        <f>SUMIFS('Данные'!$F:$F,'Данные'!$A:$A,"&gt;="&amp;(($E$3-WEEKDAY($E$3,2)+1-7*(WEEKDAY($E$3,2)&lt;7))-7*5),'Данные'!$A:$A,"&lt;"&amp;((($E$3-WEEKDAY($E$3,2)+1-7*(WEEKDAY($E$3,2)&lt;7))-7*5)+6)+1,'Данные'!$B:$B,$B$3)</f>
        <v/>
      </c>
      <c r="I33" s="33">
        <f>IFERROR(B33/H33,"")</f>
        <v/>
      </c>
      <c r="J33" s="34">
        <f>IFERROR(H33/E33,"")</f>
        <v/>
      </c>
    </row>
    <row r="34">
      <c r="A34" s="36">
        <f>TEXT((($E$3-WEEKDAY($E$3,2)+1-7*(WEEKDAY($E$3,2)&lt;7))-7*4),"DD.MM")&amp;"–"&amp;TEXT((($E$3-WEEKDAY($E$3,2)+1-7*(WEEKDAY($E$3,2)&lt;7))-7*4)+6,"DD.MM.YYYY")</f>
        <v/>
      </c>
      <c r="B34" s="37">
        <f>SUMIFS('Данные'!$C:$C,'Данные'!$A:$A,"&gt;="&amp;(($E$3-WEEKDAY($E$3,2)+1-7*(WEEKDAY($E$3,2)&lt;7))-7*4),'Данные'!$A:$A,"&lt;"&amp;((($E$3-WEEKDAY($E$3,2)+1-7*(WEEKDAY($E$3,2)&lt;7))-7*4)+6)+1,'Данные'!$B:$B,$B$3)</f>
        <v/>
      </c>
      <c r="C34" s="37">
        <f>B34*(100+22)/100</f>
        <v/>
      </c>
      <c r="D34" s="38">
        <f>SUMIFS('Данные'!$D:$D,'Данные'!$A:$A,"&gt;="&amp;(($E$3-WEEKDAY($E$3,2)+1-7*(WEEKDAY($E$3,2)&lt;7))-7*4),'Данные'!$A:$A,"&lt;"&amp;((($E$3-WEEKDAY($E$3,2)+1-7*(WEEKDAY($E$3,2)&lt;7))-7*4)+6)+1,'Данные'!$B:$B,$B$3)</f>
        <v/>
      </c>
      <c r="E34" s="38">
        <f>SUMIFS('Данные'!$E:$E,'Данные'!$A:$A,"&gt;="&amp;(($E$3-WEEKDAY($E$3,2)+1-7*(WEEKDAY($E$3,2)&lt;7))-7*4),'Данные'!$A:$A,"&lt;"&amp;((($E$3-WEEKDAY($E$3,2)+1-7*(WEEKDAY($E$3,2)&lt;7))-7*4)+6)+1,'Данные'!$B:$B,$B$3)</f>
        <v/>
      </c>
      <c r="F34" s="39">
        <f>IFERROR(E34/D34,"")</f>
        <v/>
      </c>
      <c r="G34" s="40">
        <f>IFERROR(B34/E34,"")</f>
        <v/>
      </c>
      <c r="H34" s="38">
        <f>SUMIFS('Данные'!$F:$F,'Данные'!$A:$A,"&gt;="&amp;(($E$3-WEEKDAY($E$3,2)+1-7*(WEEKDAY($E$3,2)&lt;7))-7*4),'Данные'!$A:$A,"&lt;"&amp;((($E$3-WEEKDAY($E$3,2)+1-7*(WEEKDAY($E$3,2)&lt;7))-7*4)+6)+1,'Данные'!$B:$B,$B$3)</f>
        <v/>
      </c>
      <c r="I34" s="40">
        <f>IFERROR(B34/H34,"")</f>
        <v/>
      </c>
      <c r="J34" s="41">
        <f>IFERROR(H34/E34,"")</f>
        <v/>
      </c>
    </row>
    <row r="35">
      <c r="A35" s="29">
        <f>TEXT((($E$3-WEEKDAY($E$3,2)+1-7*(WEEKDAY($E$3,2)&lt;7))-7*3),"DD.MM")&amp;"–"&amp;TEXT((($E$3-WEEKDAY($E$3,2)+1-7*(WEEKDAY($E$3,2)&lt;7))-7*3)+6,"DD.MM.YYYY")</f>
        <v/>
      </c>
      <c r="B35" s="30">
        <f>SUMIFS('Данные'!$C:$C,'Данные'!$A:$A,"&gt;="&amp;(($E$3-WEEKDAY($E$3,2)+1-7*(WEEKDAY($E$3,2)&lt;7))-7*3),'Данные'!$A:$A,"&lt;"&amp;((($E$3-WEEKDAY($E$3,2)+1-7*(WEEKDAY($E$3,2)&lt;7))-7*3)+6)+1,'Данные'!$B:$B,$B$3)</f>
        <v/>
      </c>
      <c r="C35" s="30">
        <f>B35*(100+22)/100</f>
        <v/>
      </c>
      <c r="D35" s="31">
        <f>SUMIFS('Данные'!$D:$D,'Данные'!$A:$A,"&gt;="&amp;(($E$3-WEEKDAY($E$3,2)+1-7*(WEEKDAY($E$3,2)&lt;7))-7*3),'Данные'!$A:$A,"&lt;"&amp;((($E$3-WEEKDAY($E$3,2)+1-7*(WEEKDAY($E$3,2)&lt;7))-7*3)+6)+1,'Данные'!$B:$B,$B$3)</f>
        <v/>
      </c>
      <c r="E35" s="31">
        <f>SUMIFS('Данные'!$E:$E,'Данные'!$A:$A,"&gt;="&amp;(($E$3-WEEKDAY($E$3,2)+1-7*(WEEKDAY($E$3,2)&lt;7))-7*3),'Данные'!$A:$A,"&lt;"&amp;((($E$3-WEEKDAY($E$3,2)+1-7*(WEEKDAY($E$3,2)&lt;7))-7*3)+6)+1,'Данные'!$B:$B,$B$3)</f>
        <v/>
      </c>
      <c r="F35" s="32">
        <f>IFERROR(E35/D35,"")</f>
        <v/>
      </c>
      <c r="G35" s="33">
        <f>IFERROR(B35/E35,"")</f>
        <v/>
      </c>
      <c r="H35" s="31">
        <f>SUMIFS('Данные'!$F:$F,'Данные'!$A:$A,"&gt;="&amp;(($E$3-WEEKDAY($E$3,2)+1-7*(WEEKDAY($E$3,2)&lt;7))-7*3),'Данные'!$A:$A,"&lt;"&amp;((($E$3-WEEKDAY($E$3,2)+1-7*(WEEKDAY($E$3,2)&lt;7))-7*3)+6)+1,'Данные'!$B:$B,$B$3)</f>
        <v/>
      </c>
      <c r="I35" s="33">
        <f>IFERROR(B35/H35,"")</f>
        <v/>
      </c>
      <c r="J35" s="34">
        <f>IFERROR(H35/E35,"")</f>
        <v/>
      </c>
    </row>
    <row r="36">
      <c r="A36" s="36">
        <f>TEXT((($E$3-WEEKDAY($E$3,2)+1-7*(WEEKDAY($E$3,2)&lt;7))-7*2),"DD.MM")&amp;"–"&amp;TEXT((($E$3-WEEKDAY($E$3,2)+1-7*(WEEKDAY($E$3,2)&lt;7))-7*2)+6,"DD.MM.YYYY")</f>
        <v/>
      </c>
      <c r="B36" s="37">
        <f>SUMIFS('Данные'!$C:$C,'Данные'!$A:$A,"&gt;="&amp;(($E$3-WEEKDAY($E$3,2)+1-7*(WEEKDAY($E$3,2)&lt;7))-7*2),'Данные'!$A:$A,"&lt;"&amp;((($E$3-WEEKDAY($E$3,2)+1-7*(WEEKDAY($E$3,2)&lt;7))-7*2)+6)+1,'Данные'!$B:$B,$B$3)</f>
        <v/>
      </c>
      <c r="C36" s="37">
        <f>B36*(100+22)/100</f>
        <v/>
      </c>
      <c r="D36" s="38">
        <f>SUMIFS('Данные'!$D:$D,'Данные'!$A:$A,"&gt;="&amp;(($E$3-WEEKDAY($E$3,2)+1-7*(WEEKDAY($E$3,2)&lt;7))-7*2),'Данные'!$A:$A,"&lt;"&amp;((($E$3-WEEKDAY($E$3,2)+1-7*(WEEKDAY($E$3,2)&lt;7))-7*2)+6)+1,'Данные'!$B:$B,$B$3)</f>
        <v/>
      </c>
      <c r="E36" s="38">
        <f>SUMIFS('Данные'!$E:$E,'Данные'!$A:$A,"&gt;="&amp;(($E$3-WEEKDAY($E$3,2)+1-7*(WEEKDAY($E$3,2)&lt;7))-7*2),'Данные'!$A:$A,"&lt;"&amp;((($E$3-WEEKDAY($E$3,2)+1-7*(WEEKDAY($E$3,2)&lt;7))-7*2)+6)+1,'Данные'!$B:$B,$B$3)</f>
        <v/>
      </c>
      <c r="F36" s="39">
        <f>IFERROR(E36/D36,"")</f>
        <v/>
      </c>
      <c r="G36" s="40">
        <f>IFERROR(B36/E36,"")</f>
        <v/>
      </c>
      <c r="H36" s="38">
        <f>SUMIFS('Данные'!$F:$F,'Данные'!$A:$A,"&gt;="&amp;(($E$3-WEEKDAY($E$3,2)+1-7*(WEEKDAY($E$3,2)&lt;7))-7*2),'Данные'!$A:$A,"&lt;"&amp;((($E$3-WEEKDAY($E$3,2)+1-7*(WEEKDAY($E$3,2)&lt;7))-7*2)+6)+1,'Данные'!$B:$B,$B$3)</f>
        <v/>
      </c>
      <c r="I36" s="40">
        <f>IFERROR(B36/H36,"")</f>
        <v/>
      </c>
      <c r="J36" s="41">
        <f>IFERROR(H36/E36,"")</f>
        <v/>
      </c>
    </row>
    <row r="37">
      <c r="A37" s="29">
        <f>TEXT((($E$3-WEEKDAY($E$3,2)+1-7*(WEEKDAY($E$3,2)&lt;7))-7*1),"DD.MM")&amp;"–"&amp;TEXT((($E$3-WEEKDAY($E$3,2)+1-7*(WEEKDAY($E$3,2)&lt;7))-7*1)+6,"DD.MM.YYYY")</f>
        <v/>
      </c>
      <c r="B37" s="30">
        <f>SUMIFS('Данные'!$C:$C,'Данные'!$A:$A,"&gt;="&amp;(($E$3-WEEKDAY($E$3,2)+1-7*(WEEKDAY($E$3,2)&lt;7))-7*1),'Данные'!$A:$A,"&lt;"&amp;((($E$3-WEEKDAY($E$3,2)+1-7*(WEEKDAY($E$3,2)&lt;7))-7*1)+6)+1,'Данные'!$B:$B,$B$3)</f>
        <v/>
      </c>
      <c r="C37" s="30">
        <f>B37*(100+22)/100</f>
        <v/>
      </c>
      <c r="D37" s="31">
        <f>SUMIFS('Данные'!$D:$D,'Данные'!$A:$A,"&gt;="&amp;(($E$3-WEEKDAY($E$3,2)+1-7*(WEEKDAY($E$3,2)&lt;7))-7*1),'Данные'!$A:$A,"&lt;"&amp;((($E$3-WEEKDAY($E$3,2)+1-7*(WEEKDAY($E$3,2)&lt;7))-7*1)+6)+1,'Данные'!$B:$B,$B$3)</f>
        <v/>
      </c>
      <c r="E37" s="31">
        <f>SUMIFS('Данные'!$E:$E,'Данные'!$A:$A,"&gt;="&amp;(($E$3-WEEKDAY($E$3,2)+1-7*(WEEKDAY($E$3,2)&lt;7))-7*1),'Данные'!$A:$A,"&lt;"&amp;((($E$3-WEEKDAY($E$3,2)+1-7*(WEEKDAY($E$3,2)&lt;7))-7*1)+6)+1,'Данные'!$B:$B,$B$3)</f>
        <v/>
      </c>
      <c r="F37" s="32">
        <f>IFERROR(E37/D37,"")</f>
        <v/>
      </c>
      <c r="G37" s="33">
        <f>IFERROR(B37/E37,"")</f>
        <v/>
      </c>
      <c r="H37" s="31">
        <f>SUMIFS('Данные'!$F:$F,'Данные'!$A:$A,"&gt;="&amp;(($E$3-WEEKDAY($E$3,2)+1-7*(WEEKDAY($E$3,2)&lt;7))-7*1),'Данные'!$A:$A,"&lt;"&amp;((($E$3-WEEKDAY($E$3,2)+1-7*(WEEKDAY($E$3,2)&lt;7))-7*1)+6)+1,'Данные'!$B:$B,$B$3)</f>
        <v/>
      </c>
      <c r="I37" s="33">
        <f>IFERROR(B37/H37,"")</f>
        <v/>
      </c>
      <c r="J37" s="34">
        <f>IFERROR(H37/E37,"")</f>
        <v/>
      </c>
    </row>
    <row r="38">
      <c r="A38" s="36">
        <f>TEXT((($E$3-WEEKDAY($E$3,2)+1-7*(WEEKDAY($E$3,2)&lt;7))-7*0),"DD.MM")&amp;"–"&amp;TEXT((($E$3-WEEKDAY($E$3,2)+1-7*(WEEKDAY($E$3,2)&lt;7))-7*0)+6,"DD.MM.YYYY")</f>
        <v/>
      </c>
      <c r="B38" s="37">
        <f>SUMIFS('Данные'!$C:$C,'Данные'!$A:$A,"&gt;="&amp;(($E$3-WEEKDAY($E$3,2)+1-7*(WEEKDAY($E$3,2)&lt;7))-7*0),'Данные'!$A:$A,"&lt;"&amp;((($E$3-WEEKDAY($E$3,2)+1-7*(WEEKDAY($E$3,2)&lt;7))-7*0)+6)+1,'Данные'!$B:$B,$B$3)</f>
        <v/>
      </c>
      <c r="C38" s="37">
        <f>B38*(100+22)/100</f>
        <v/>
      </c>
      <c r="D38" s="38">
        <f>SUMIFS('Данные'!$D:$D,'Данные'!$A:$A,"&gt;="&amp;(($E$3-WEEKDAY($E$3,2)+1-7*(WEEKDAY($E$3,2)&lt;7))-7*0),'Данные'!$A:$A,"&lt;"&amp;((($E$3-WEEKDAY($E$3,2)+1-7*(WEEKDAY($E$3,2)&lt;7))-7*0)+6)+1,'Данные'!$B:$B,$B$3)</f>
        <v/>
      </c>
      <c r="E38" s="38">
        <f>SUMIFS('Данные'!$E:$E,'Данные'!$A:$A,"&gt;="&amp;(($E$3-WEEKDAY($E$3,2)+1-7*(WEEKDAY($E$3,2)&lt;7))-7*0),'Данные'!$A:$A,"&lt;"&amp;((($E$3-WEEKDAY($E$3,2)+1-7*(WEEKDAY($E$3,2)&lt;7))-7*0)+6)+1,'Данные'!$B:$B,$B$3)</f>
        <v/>
      </c>
      <c r="F38" s="39">
        <f>IFERROR(E38/D38,"")</f>
        <v/>
      </c>
      <c r="G38" s="40">
        <f>IFERROR(B38/E38,"")</f>
        <v/>
      </c>
      <c r="H38" s="38">
        <f>SUMIFS('Данные'!$F:$F,'Данные'!$A:$A,"&gt;="&amp;(($E$3-WEEKDAY($E$3,2)+1-7*(WEEKDAY($E$3,2)&lt;7))-7*0),'Данные'!$A:$A,"&lt;"&amp;((($E$3-WEEKDAY($E$3,2)+1-7*(WEEKDAY($E$3,2)&lt;7))-7*0)+6)+1,'Данные'!$B:$B,$B$3)</f>
        <v/>
      </c>
      <c r="I38" s="40">
        <f>IFERROR(B38/H38,"")</f>
        <v/>
      </c>
      <c r="J38" s="41">
        <f>IFERROR(H38/E38,"")</f>
        <v/>
      </c>
    </row>
    <row r="39">
      <c r="A39" s="59" t="inlineStr">
        <is>
          <t>Разница с прошлой неделей</t>
        </is>
      </c>
      <c r="B39" s="60">
        <f>IFERROR(B38/B37-1,"")</f>
        <v/>
      </c>
      <c r="C39" s="60">
        <f>IFERROR(C38/C37-1,"")</f>
        <v/>
      </c>
      <c r="D39" s="60">
        <f>IFERROR(D38/D37-1,"")</f>
        <v/>
      </c>
      <c r="E39" s="60">
        <f>IFERROR(E38/E37-1,"")</f>
        <v/>
      </c>
      <c r="F39" s="60">
        <f>IFERROR(F38/F37-1,"")</f>
        <v/>
      </c>
      <c r="G39" s="60">
        <f>IFERROR(G38/G37-1,"")</f>
        <v/>
      </c>
      <c r="H39" s="60">
        <f>IFERROR(H38/H37-1,"")</f>
        <v/>
      </c>
      <c r="I39" s="60">
        <f>IFERROR(I38/I37-1,"")</f>
        <v/>
      </c>
      <c r="J39" s="60">
        <f>IFERROR(J38/J37-1,"")</f>
        <v/>
      </c>
    </row>
    <row r="41">
      <c r="A41" s="9" t="inlineStr">
        <is>
          <t>📅 По завершённым месяцам (12)</t>
        </is>
      </c>
    </row>
    <row r="42">
      <c r="A42" s="11" t="inlineStr">
        <is>
          <t>Месяц</t>
        </is>
      </c>
      <c r="B42" s="11" t="inlineStr">
        <is>
          <t>Расход</t>
        </is>
      </c>
      <c r="C42" s="11" t="inlineStr">
        <is>
          <t>Расход с НДС</t>
        </is>
      </c>
      <c r="D42" s="11" t="inlineStr">
        <is>
          <t>Показы</t>
        </is>
      </c>
      <c r="E42" s="11" t="inlineStr">
        <is>
          <t>Клики</t>
        </is>
      </c>
      <c r="F42" s="11" t="inlineStr">
        <is>
          <t>CTR</t>
        </is>
      </c>
      <c r="G42" s="11" t="inlineStr">
        <is>
          <t>CPC</t>
        </is>
      </c>
      <c r="H42" s="11" t="inlineStr">
        <is>
          <t>Подписки</t>
        </is>
      </c>
      <c r="I42" s="11" t="inlineStr">
        <is>
          <t>Цена подписки</t>
        </is>
      </c>
      <c r="J42" s="11" t="inlineStr">
        <is>
          <t>CR в подписку</t>
        </is>
      </c>
    </row>
    <row r="43">
      <c r="A43" s="29">
        <f>CHOOSE(MONTH(EDATE(EDATE(DATE(YEAR($E$3),MONTH($E$3),1),-($E$3&lt;EOMONTH($E$3,0))),-11)),"Январь","Февраль","Март","Апрель","Май","Июнь","Июль","Август","Сентябрь","Октябрь","Ноябрь","Декабрь")&amp;" "&amp;YEAR(EDATE(EDATE(DATE(YEAR($E$3),MONTH($E$3),1),-($E$3&lt;EOMONTH($E$3,0))),-11))</f>
        <v/>
      </c>
      <c r="B43" s="30">
        <f>SUMIFS('Данные'!$C:$C,'Данные'!$A:$A,"&gt;="&amp;EDATE(EDATE(DATE(YEAR($E$3),MONTH($E$3),1),-($E$3&lt;EOMONTH($E$3,0))),-11),'Данные'!$A:$A,"&lt;"&amp;EOMONTH(EDATE(EDATE(DATE(YEAR($E$3),MONTH($E$3),1),-($E$3&lt;EOMONTH($E$3,0))),-11),0)+1,'Данные'!$B:$B,$B$3)</f>
        <v/>
      </c>
      <c r="C43" s="30">
        <f>B43*(100+22)/100</f>
        <v/>
      </c>
      <c r="D43" s="31">
        <f>SUMIFS('Данные'!$D:$D,'Данные'!$A:$A,"&gt;="&amp;EDATE(EDATE(DATE(YEAR($E$3),MONTH($E$3),1),-($E$3&lt;EOMONTH($E$3,0))),-11),'Данные'!$A:$A,"&lt;"&amp;EOMONTH(EDATE(EDATE(DATE(YEAR($E$3),MONTH($E$3),1),-($E$3&lt;EOMONTH($E$3,0))),-11),0)+1,'Данные'!$B:$B,$B$3)</f>
        <v/>
      </c>
      <c r="E43" s="31">
        <f>SUMIFS('Данные'!$E:$E,'Данные'!$A:$A,"&gt;="&amp;EDATE(EDATE(DATE(YEAR($E$3),MONTH($E$3),1),-($E$3&lt;EOMONTH($E$3,0))),-11),'Данные'!$A:$A,"&lt;"&amp;EOMONTH(EDATE(EDATE(DATE(YEAR($E$3),MONTH($E$3),1),-($E$3&lt;EOMONTH($E$3,0))),-11),0)+1,'Данные'!$B:$B,$B$3)</f>
        <v/>
      </c>
      <c r="F43" s="32">
        <f>IFERROR(E43/D43,"")</f>
        <v/>
      </c>
      <c r="G43" s="33">
        <f>IFERROR(B43/E43,"")</f>
        <v/>
      </c>
      <c r="H43" s="31">
        <f>SUMIFS('Данные'!$F:$F,'Данные'!$A:$A,"&gt;="&amp;EDATE(EDATE(DATE(YEAR($E$3),MONTH($E$3),1),-($E$3&lt;EOMONTH($E$3,0))),-11),'Данные'!$A:$A,"&lt;"&amp;EOMONTH(EDATE(EDATE(DATE(YEAR($E$3),MONTH($E$3),1),-($E$3&lt;EOMONTH($E$3,0))),-11),0)+1,'Данные'!$B:$B,$B$3)</f>
        <v/>
      </c>
      <c r="I43" s="33">
        <f>IFERROR(B43/H43,"")</f>
        <v/>
      </c>
      <c r="J43" s="34">
        <f>IFERROR(H43/E43,"")</f>
        <v/>
      </c>
    </row>
    <row r="44">
      <c r="A44" s="36">
        <f>CHOOSE(MONTH(EDATE(EDATE(DATE(YEAR($E$3),MONTH($E$3),1),-($E$3&lt;EOMONTH($E$3,0))),-10)),"Январь","Февраль","Март","Апрель","Май","Июнь","Июль","Август","Сентябрь","Октябрь","Ноябрь","Декабрь")&amp;" "&amp;YEAR(EDATE(EDATE(DATE(YEAR($E$3),MONTH($E$3),1),-($E$3&lt;EOMONTH($E$3,0))),-10))</f>
        <v/>
      </c>
      <c r="B44" s="37">
        <f>SUMIFS('Данные'!$C:$C,'Данные'!$A:$A,"&gt;="&amp;EDATE(EDATE(DATE(YEAR($E$3),MONTH($E$3),1),-($E$3&lt;EOMONTH($E$3,0))),-10),'Данные'!$A:$A,"&lt;"&amp;EOMONTH(EDATE(EDATE(DATE(YEAR($E$3),MONTH($E$3),1),-($E$3&lt;EOMONTH($E$3,0))),-10),0)+1,'Данные'!$B:$B,$B$3)</f>
        <v/>
      </c>
      <c r="C44" s="37">
        <f>B44*(100+22)/100</f>
        <v/>
      </c>
      <c r="D44" s="38">
        <f>SUMIFS('Данные'!$D:$D,'Данные'!$A:$A,"&gt;="&amp;EDATE(EDATE(DATE(YEAR($E$3),MONTH($E$3),1),-($E$3&lt;EOMONTH($E$3,0))),-10),'Данные'!$A:$A,"&lt;"&amp;EOMONTH(EDATE(EDATE(DATE(YEAR($E$3),MONTH($E$3),1),-($E$3&lt;EOMONTH($E$3,0))),-10),0)+1,'Данные'!$B:$B,$B$3)</f>
        <v/>
      </c>
      <c r="E44" s="38">
        <f>SUMIFS('Данные'!$E:$E,'Данные'!$A:$A,"&gt;="&amp;EDATE(EDATE(DATE(YEAR($E$3),MONTH($E$3),1),-($E$3&lt;EOMONTH($E$3,0))),-10),'Данные'!$A:$A,"&lt;"&amp;EOMONTH(EDATE(EDATE(DATE(YEAR($E$3),MONTH($E$3),1),-($E$3&lt;EOMONTH($E$3,0))),-10),0)+1,'Данные'!$B:$B,$B$3)</f>
        <v/>
      </c>
      <c r="F44" s="39">
        <f>IFERROR(E44/D44,"")</f>
        <v/>
      </c>
      <c r="G44" s="40">
        <f>IFERROR(B44/E44,"")</f>
        <v/>
      </c>
      <c r="H44" s="38">
        <f>SUMIFS('Данные'!$F:$F,'Данные'!$A:$A,"&gt;="&amp;EDATE(EDATE(DATE(YEAR($E$3),MONTH($E$3),1),-($E$3&lt;EOMONTH($E$3,0))),-10),'Данные'!$A:$A,"&lt;"&amp;EOMONTH(EDATE(EDATE(DATE(YEAR($E$3),MONTH($E$3),1),-($E$3&lt;EOMONTH($E$3,0))),-10),0)+1,'Данные'!$B:$B,$B$3)</f>
        <v/>
      </c>
      <c r="I44" s="40">
        <f>IFERROR(B44/H44,"")</f>
        <v/>
      </c>
      <c r="J44" s="41">
        <f>IFERROR(H44/E44,"")</f>
        <v/>
      </c>
    </row>
    <row r="45">
      <c r="A45" s="29">
        <f>CHOOSE(MONTH(EDATE(EDATE(DATE(YEAR($E$3),MONTH($E$3),1),-($E$3&lt;EOMONTH($E$3,0))),-9)),"Январь","Февраль","Март","Апрель","Май","Июнь","Июль","Август","Сентябрь","Октябрь","Ноябрь","Декабрь")&amp;" "&amp;YEAR(EDATE(EDATE(DATE(YEAR($E$3),MONTH($E$3),1),-($E$3&lt;EOMONTH($E$3,0))),-9))</f>
        <v/>
      </c>
      <c r="B45" s="30">
        <f>SUMIFS('Данные'!$C:$C,'Данные'!$A:$A,"&gt;="&amp;EDATE(EDATE(DATE(YEAR($E$3),MONTH($E$3),1),-($E$3&lt;EOMONTH($E$3,0))),-9),'Данные'!$A:$A,"&lt;"&amp;EOMONTH(EDATE(EDATE(DATE(YEAR($E$3),MONTH($E$3),1),-($E$3&lt;EOMONTH($E$3,0))),-9),0)+1,'Данные'!$B:$B,$B$3)</f>
        <v/>
      </c>
      <c r="C45" s="30">
        <f>B45*(100+22)/100</f>
        <v/>
      </c>
      <c r="D45" s="31">
        <f>SUMIFS('Данные'!$D:$D,'Данные'!$A:$A,"&gt;="&amp;EDATE(EDATE(DATE(YEAR($E$3),MONTH($E$3),1),-($E$3&lt;EOMONTH($E$3,0))),-9),'Данные'!$A:$A,"&lt;"&amp;EOMONTH(EDATE(EDATE(DATE(YEAR($E$3),MONTH($E$3),1),-($E$3&lt;EOMONTH($E$3,0))),-9),0)+1,'Данные'!$B:$B,$B$3)</f>
        <v/>
      </c>
      <c r="E45" s="31">
        <f>SUMIFS('Данные'!$E:$E,'Данные'!$A:$A,"&gt;="&amp;EDATE(EDATE(DATE(YEAR($E$3),MONTH($E$3),1),-($E$3&lt;EOMONTH($E$3,0))),-9),'Данные'!$A:$A,"&lt;"&amp;EOMONTH(EDATE(EDATE(DATE(YEAR($E$3),MONTH($E$3),1),-($E$3&lt;EOMONTH($E$3,0))),-9),0)+1,'Данные'!$B:$B,$B$3)</f>
        <v/>
      </c>
      <c r="F45" s="32">
        <f>IFERROR(E45/D45,"")</f>
        <v/>
      </c>
      <c r="G45" s="33">
        <f>IFERROR(B45/E45,"")</f>
        <v/>
      </c>
      <c r="H45" s="31">
        <f>SUMIFS('Данные'!$F:$F,'Данные'!$A:$A,"&gt;="&amp;EDATE(EDATE(DATE(YEAR($E$3),MONTH($E$3),1),-($E$3&lt;EOMONTH($E$3,0))),-9),'Данные'!$A:$A,"&lt;"&amp;EOMONTH(EDATE(EDATE(DATE(YEAR($E$3),MONTH($E$3),1),-($E$3&lt;EOMONTH($E$3,0))),-9),0)+1,'Данные'!$B:$B,$B$3)</f>
        <v/>
      </c>
      <c r="I45" s="33">
        <f>IFERROR(B45/H45,"")</f>
        <v/>
      </c>
      <c r="J45" s="34">
        <f>IFERROR(H45/E45,"")</f>
        <v/>
      </c>
    </row>
    <row r="46">
      <c r="A46" s="36">
        <f>CHOOSE(MONTH(EDATE(EDATE(DATE(YEAR($E$3),MONTH($E$3),1),-($E$3&lt;EOMONTH($E$3,0))),-8)),"Январь","Февраль","Март","Апрель","Май","Июнь","Июль","Август","Сентябрь","Октябрь","Ноябрь","Декабрь")&amp;" "&amp;YEAR(EDATE(EDATE(DATE(YEAR($E$3),MONTH($E$3),1),-($E$3&lt;EOMONTH($E$3,0))),-8))</f>
        <v/>
      </c>
      <c r="B46" s="37">
        <f>SUMIFS('Данные'!$C:$C,'Данные'!$A:$A,"&gt;="&amp;EDATE(EDATE(DATE(YEAR($E$3),MONTH($E$3),1),-($E$3&lt;EOMONTH($E$3,0))),-8),'Данные'!$A:$A,"&lt;"&amp;EOMONTH(EDATE(EDATE(DATE(YEAR($E$3),MONTH($E$3),1),-($E$3&lt;EOMONTH($E$3,0))),-8),0)+1,'Данные'!$B:$B,$B$3)</f>
        <v/>
      </c>
      <c r="C46" s="37">
        <f>B46*(100+22)/100</f>
        <v/>
      </c>
      <c r="D46" s="38">
        <f>SUMIFS('Данные'!$D:$D,'Данные'!$A:$A,"&gt;="&amp;EDATE(EDATE(DATE(YEAR($E$3),MONTH($E$3),1),-($E$3&lt;EOMONTH($E$3,0))),-8),'Данные'!$A:$A,"&lt;"&amp;EOMONTH(EDATE(EDATE(DATE(YEAR($E$3),MONTH($E$3),1),-($E$3&lt;EOMONTH($E$3,0))),-8),0)+1,'Данные'!$B:$B,$B$3)</f>
        <v/>
      </c>
      <c r="E46" s="38">
        <f>SUMIFS('Данные'!$E:$E,'Данные'!$A:$A,"&gt;="&amp;EDATE(EDATE(DATE(YEAR($E$3),MONTH($E$3),1),-($E$3&lt;EOMONTH($E$3,0))),-8),'Данные'!$A:$A,"&lt;"&amp;EOMONTH(EDATE(EDATE(DATE(YEAR($E$3),MONTH($E$3),1),-($E$3&lt;EOMONTH($E$3,0))),-8),0)+1,'Данные'!$B:$B,$B$3)</f>
        <v/>
      </c>
      <c r="F46" s="39">
        <f>IFERROR(E46/D46,"")</f>
        <v/>
      </c>
      <c r="G46" s="40">
        <f>IFERROR(B46/E46,"")</f>
        <v/>
      </c>
      <c r="H46" s="38">
        <f>SUMIFS('Данные'!$F:$F,'Данные'!$A:$A,"&gt;="&amp;EDATE(EDATE(DATE(YEAR($E$3),MONTH($E$3),1),-($E$3&lt;EOMONTH($E$3,0))),-8),'Данные'!$A:$A,"&lt;"&amp;EOMONTH(EDATE(EDATE(DATE(YEAR($E$3),MONTH($E$3),1),-($E$3&lt;EOMONTH($E$3,0))),-8),0)+1,'Данные'!$B:$B,$B$3)</f>
        <v/>
      </c>
      <c r="I46" s="40">
        <f>IFERROR(B46/H46,"")</f>
        <v/>
      </c>
      <c r="J46" s="41">
        <f>IFERROR(H46/E46,"")</f>
        <v/>
      </c>
    </row>
    <row r="47">
      <c r="A47" s="29">
        <f>CHOOSE(MONTH(EDATE(EDATE(DATE(YEAR($E$3),MONTH($E$3),1),-($E$3&lt;EOMONTH($E$3,0))),-7)),"Январь","Февраль","Март","Апрель","Май","Июнь","Июль","Август","Сентябрь","Октябрь","Ноябрь","Декабрь")&amp;" "&amp;YEAR(EDATE(EDATE(DATE(YEAR($E$3),MONTH($E$3),1),-($E$3&lt;EOMONTH($E$3,0))),-7))</f>
        <v/>
      </c>
      <c r="B47" s="30">
        <f>SUMIFS('Данные'!$C:$C,'Данные'!$A:$A,"&gt;="&amp;EDATE(EDATE(DATE(YEAR($E$3),MONTH($E$3),1),-($E$3&lt;EOMONTH($E$3,0))),-7),'Данные'!$A:$A,"&lt;"&amp;EOMONTH(EDATE(EDATE(DATE(YEAR($E$3),MONTH($E$3),1),-($E$3&lt;EOMONTH($E$3,0))),-7),0)+1,'Данные'!$B:$B,$B$3)</f>
        <v/>
      </c>
      <c r="C47" s="30">
        <f>B47*(100+22)/100</f>
        <v/>
      </c>
      <c r="D47" s="31">
        <f>SUMIFS('Данные'!$D:$D,'Данные'!$A:$A,"&gt;="&amp;EDATE(EDATE(DATE(YEAR($E$3),MONTH($E$3),1),-($E$3&lt;EOMONTH($E$3,0))),-7),'Данные'!$A:$A,"&lt;"&amp;EOMONTH(EDATE(EDATE(DATE(YEAR($E$3),MONTH($E$3),1),-($E$3&lt;EOMONTH($E$3,0))),-7),0)+1,'Данные'!$B:$B,$B$3)</f>
        <v/>
      </c>
      <c r="E47" s="31">
        <f>SUMIFS('Данные'!$E:$E,'Данные'!$A:$A,"&gt;="&amp;EDATE(EDATE(DATE(YEAR($E$3),MONTH($E$3),1),-($E$3&lt;EOMONTH($E$3,0))),-7),'Данные'!$A:$A,"&lt;"&amp;EOMONTH(EDATE(EDATE(DATE(YEAR($E$3),MONTH($E$3),1),-($E$3&lt;EOMONTH($E$3,0))),-7),0)+1,'Данные'!$B:$B,$B$3)</f>
        <v/>
      </c>
      <c r="F47" s="32">
        <f>IFERROR(E47/D47,"")</f>
        <v/>
      </c>
      <c r="G47" s="33">
        <f>IFERROR(B47/E47,"")</f>
        <v/>
      </c>
      <c r="H47" s="31">
        <f>SUMIFS('Данные'!$F:$F,'Данные'!$A:$A,"&gt;="&amp;EDATE(EDATE(DATE(YEAR($E$3),MONTH($E$3),1),-($E$3&lt;EOMONTH($E$3,0))),-7),'Данные'!$A:$A,"&lt;"&amp;EOMONTH(EDATE(EDATE(DATE(YEAR($E$3),MONTH($E$3),1),-($E$3&lt;EOMONTH($E$3,0))),-7),0)+1,'Данные'!$B:$B,$B$3)</f>
        <v/>
      </c>
      <c r="I47" s="33">
        <f>IFERROR(B47/H47,"")</f>
        <v/>
      </c>
      <c r="J47" s="34">
        <f>IFERROR(H47/E47,"")</f>
        <v/>
      </c>
    </row>
    <row r="48">
      <c r="A48" s="36">
        <f>CHOOSE(MONTH(EDATE(EDATE(DATE(YEAR($E$3),MONTH($E$3),1),-($E$3&lt;EOMONTH($E$3,0))),-6)),"Январь","Февраль","Март","Апрель","Май","Июнь","Июль","Август","Сентябрь","Октябрь","Ноябрь","Декабрь")&amp;" "&amp;YEAR(EDATE(EDATE(DATE(YEAR($E$3),MONTH($E$3),1),-($E$3&lt;EOMONTH($E$3,0))),-6))</f>
        <v/>
      </c>
      <c r="B48" s="37">
        <f>SUMIFS('Данные'!$C:$C,'Данные'!$A:$A,"&gt;="&amp;EDATE(EDATE(DATE(YEAR($E$3),MONTH($E$3),1),-($E$3&lt;EOMONTH($E$3,0))),-6),'Данные'!$A:$A,"&lt;"&amp;EOMONTH(EDATE(EDATE(DATE(YEAR($E$3),MONTH($E$3),1),-($E$3&lt;EOMONTH($E$3,0))),-6),0)+1,'Данные'!$B:$B,$B$3)</f>
        <v/>
      </c>
      <c r="C48" s="37">
        <f>B48*(100+22)/100</f>
        <v/>
      </c>
      <c r="D48" s="38">
        <f>SUMIFS('Данные'!$D:$D,'Данные'!$A:$A,"&gt;="&amp;EDATE(EDATE(DATE(YEAR($E$3),MONTH($E$3),1),-($E$3&lt;EOMONTH($E$3,0))),-6),'Данные'!$A:$A,"&lt;"&amp;EOMONTH(EDATE(EDATE(DATE(YEAR($E$3),MONTH($E$3),1),-($E$3&lt;EOMONTH($E$3,0))),-6),0)+1,'Данные'!$B:$B,$B$3)</f>
        <v/>
      </c>
      <c r="E48" s="38">
        <f>SUMIFS('Данные'!$E:$E,'Данные'!$A:$A,"&gt;="&amp;EDATE(EDATE(DATE(YEAR($E$3),MONTH($E$3),1),-($E$3&lt;EOMONTH($E$3,0))),-6),'Данные'!$A:$A,"&lt;"&amp;EOMONTH(EDATE(EDATE(DATE(YEAR($E$3),MONTH($E$3),1),-($E$3&lt;EOMONTH($E$3,0))),-6),0)+1,'Данные'!$B:$B,$B$3)</f>
        <v/>
      </c>
      <c r="F48" s="39">
        <f>IFERROR(E48/D48,"")</f>
        <v/>
      </c>
      <c r="G48" s="40">
        <f>IFERROR(B48/E48,"")</f>
        <v/>
      </c>
      <c r="H48" s="38">
        <f>SUMIFS('Данные'!$F:$F,'Данные'!$A:$A,"&gt;="&amp;EDATE(EDATE(DATE(YEAR($E$3),MONTH($E$3),1),-($E$3&lt;EOMONTH($E$3,0))),-6),'Данные'!$A:$A,"&lt;"&amp;EOMONTH(EDATE(EDATE(DATE(YEAR($E$3),MONTH($E$3),1),-($E$3&lt;EOMONTH($E$3,0))),-6),0)+1,'Данные'!$B:$B,$B$3)</f>
        <v/>
      </c>
      <c r="I48" s="40">
        <f>IFERROR(B48/H48,"")</f>
        <v/>
      </c>
      <c r="J48" s="41">
        <f>IFERROR(H48/E48,"")</f>
        <v/>
      </c>
    </row>
    <row r="49">
      <c r="A49" s="29">
        <f>CHOOSE(MONTH(EDATE(EDATE(DATE(YEAR($E$3),MONTH($E$3),1),-($E$3&lt;EOMONTH($E$3,0))),-5)),"Январь","Февраль","Март","Апрель","Май","Июнь","Июль","Август","Сентябрь","Октябрь","Ноябрь","Декабрь")&amp;" "&amp;YEAR(EDATE(EDATE(DATE(YEAR($E$3),MONTH($E$3),1),-($E$3&lt;EOMONTH($E$3,0))),-5))</f>
        <v/>
      </c>
      <c r="B49" s="30">
        <f>SUMIFS('Данные'!$C:$C,'Данные'!$A:$A,"&gt;="&amp;EDATE(EDATE(DATE(YEAR($E$3),MONTH($E$3),1),-($E$3&lt;EOMONTH($E$3,0))),-5),'Данные'!$A:$A,"&lt;"&amp;EOMONTH(EDATE(EDATE(DATE(YEAR($E$3),MONTH($E$3),1),-($E$3&lt;EOMONTH($E$3,0))),-5),0)+1,'Данные'!$B:$B,$B$3)</f>
        <v/>
      </c>
      <c r="C49" s="30">
        <f>B49*(100+22)/100</f>
        <v/>
      </c>
      <c r="D49" s="31">
        <f>SUMIFS('Данные'!$D:$D,'Данные'!$A:$A,"&gt;="&amp;EDATE(EDATE(DATE(YEAR($E$3),MONTH($E$3),1),-($E$3&lt;EOMONTH($E$3,0))),-5),'Данные'!$A:$A,"&lt;"&amp;EOMONTH(EDATE(EDATE(DATE(YEAR($E$3),MONTH($E$3),1),-($E$3&lt;EOMONTH($E$3,0))),-5),0)+1,'Данные'!$B:$B,$B$3)</f>
        <v/>
      </c>
      <c r="E49" s="31">
        <f>SUMIFS('Данные'!$E:$E,'Данные'!$A:$A,"&gt;="&amp;EDATE(EDATE(DATE(YEAR($E$3),MONTH($E$3),1),-($E$3&lt;EOMONTH($E$3,0))),-5),'Данные'!$A:$A,"&lt;"&amp;EOMONTH(EDATE(EDATE(DATE(YEAR($E$3),MONTH($E$3),1),-($E$3&lt;EOMONTH($E$3,0))),-5),0)+1,'Данные'!$B:$B,$B$3)</f>
        <v/>
      </c>
      <c r="F49" s="32">
        <f>IFERROR(E49/D49,"")</f>
        <v/>
      </c>
      <c r="G49" s="33">
        <f>IFERROR(B49/E49,"")</f>
        <v/>
      </c>
      <c r="H49" s="31">
        <f>SUMIFS('Данные'!$F:$F,'Данные'!$A:$A,"&gt;="&amp;EDATE(EDATE(DATE(YEAR($E$3),MONTH($E$3),1),-($E$3&lt;EOMONTH($E$3,0))),-5),'Данные'!$A:$A,"&lt;"&amp;EOMONTH(EDATE(EDATE(DATE(YEAR($E$3),MONTH($E$3),1),-($E$3&lt;EOMONTH($E$3,0))),-5),0)+1,'Данные'!$B:$B,$B$3)</f>
        <v/>
      </c>
      <c r="I49" s="33">
        <f>IFERROR(B49/H49,"")</f>
        <v/>
      </c>
      <c r="J49" s="34">
        <f>IFERROR(H49/E49,"")</f>
        <v/>
      </c>
    </row>
    <row r="50">
      <c r="A50" s="36">
        <f>CHOOSE(MONTH(EDATE(EDATE(DATE(YEAR($E$3),MONTH($E$3),1),-($E$3&lt;EOMONTH($E$3,0))),-4)),"Январь","Февраль","Март","Апрель","Май","Июнь","Июль","Август","Сентябрь","Октябрь","Ноябрь","Декабрь")&amp;" "&amp;YEAR(EDATE(EDATE(DATE(YEAR($E$3),MONTH($E$3),1),-($E$3&lt;EOMONTH($E$3,0))),-4))</f>
        <v/>
      </c>
      <c r="B50" s="37">
        <f>SUMIFS('Данные'!$C:$C,'Данные'!$A:$A,"&gt;="&amp;EDATE(EDATE(DATE(YEAR($E$3),MONTH($E$3),1),-($E$3&lt;EOMONTH($E$3,0))),-4),'Данные'!$A:$A,"&lt;"&amp;EOMONTH(EDATE(EDATE(DATE(YEAR($E$3),MONTH($E$3),1),-($E$3&lt;EOMONTH($E$3,0))),-4),0)+1,'Данные'!$B:$B,$B$3)</f>
        <v/>
      </c>
      <c r="C50" s="37">
        <f>B50*(100+22)/100</f>
        <v/>
      </c>
      <c r="D50" s="38">
        <f>SUMIFS('Данные'!$D:$D,'Данные'!$A:$A,"&gt;="&amp;EDATE(EDATE(DATE(YEAR($E$3),MONTH($E$3),1),-($E$3&lt;EOMONTH($E$3,0))),-4),'Данные'!$A:$A,"&lt;"&amp;EOMONTH(EDATE(EDATE(DATE(YEAR($E$3),MONTH($E$3),1),-($E$3&lt;EOMONTH($E$3,0))),-4),0)+1,'Данные'!$B:$B,$B$3)</f>
        <v/>
      </c>
      <c r="E50" s="38">
        <f>SUMIFS('Данные'!$E:$E,'Данные'!$A:$A,"&gt;="&amp;EDATE(EDATE(DATE(YEAR($E$3),MONTH($E$3),1),-($E$3&lt;EOMONTH($E$3,0))),-4),'Данные'!$A:$A,"&lt;"&amp;EOMONTH(EDATE(EDATE(DATE(YEAR($E$3),MONTH($E$3),1),-($E$3&lt;EOMONTH($E$3,0))),-4),0)+1,'Данные'!$B:$B,$B$3)</f>
        <v/>
      </c>
      <c r="F50" s="39">
        <f>IFERROR(E50/D50,"")</f>
        <v/>
      </c>
      <c r="G50" s="40">
        <f>IFERROR(B50/E50,"")</f>
        <v/>
      </c>
      <c r="H50" s="38">
        <f>SUMIFS('Данные'!$F:$F,'Данные'!$A:$A,"&gt;="&amp;EDATE(EDATE(DATE(YEAR($E$3),MONTH($E$3),1),-($E$3&lt;EOMONTH($E$3,0))),-4),'Данные'!$A:$A,"&lt;"&amp;EOMONTH(EDATE(EDATE(DATE(YEAR($E$3),MONTH($E$3),1),-($E$3&lt;EOMONTH($E$3,0))),-4),0)+1,'Данные'!$B:$B,$B$3)</f>
        <v/>
      </c>
      <c r="I50" s="40">
        <f>IFERROR(B50/H50,"")</f>
        <v/>
      </c>
      <c r="J50" s="41">
        <f>IFERROR(H50/E50,"")</f>
        <v/>
      </c>
    </row>
    <row r="51">
      <c r="A51" s="29">
        <f>CHOOSE(MONTH(EDATE(EDATE(DATE(YEAR($E$3),MONTH($E$3),1),-($E$3&lt;EOMONTH($E$3,0))),-3)),"Январь","Февраль","Март","Апрель","Май","Июнь","Июль","Август","Сентябрь","Октябрь","Ноябрь","Декабрь")&amp;" "&amp;YEAR(EDATE(EDATE(DATE(YEAR($E$3),MONTH($E$3),1),-($E$3&lt;EOMONTH($E$3,0))),-3))</f>
        <v/>
      </c>
      <c r="B51" s="30">
        <f>SUMIFS('Данные'!$C:$C,'Данные'!$A:$A,"&gt;="&amp;EDATE(EDATE(DATE(YEAR($E$3),MONTH($E$3),1),-($E$3&lt;EOMONTH($E$3,0))),-3),'Данные'!$A:$A,"&lt;"&amp;EOMONTH(EDATE(EDATE(DATE(YEAR($E$3),MONTH($E$3),1),-($E$3&lt;EOMONTH($E$3,0))),-3),0)+1,'Данные'!$B:$B,$B$3)</f>
        <v/>
      </c>
      <c r="C51" s="30">
        <f>B51*(100+22)/100</f>
        <v/>
      </c>
      <c r="D51" s="31">
        <f>SUMIFS('Данные'!$D:$D,'Данные'!$A:$A,"&gt;="&amp;EDATE(EDATE(DATE(YEAR($E$3),MONTH($E$3),1),-($E$3&lt;EOMONTH($E$3,0))),-3),'Данные'!$A:$A,"&lt;"&amp;EOMONTH(EDATE(EDATE(DATE(YEAR($E$3),MONTH($E$3),1),-($E$3&lt;EOMONTH($E$3,0))),-3),0)+1,'Данные'!$B:$B,$B$3)</f>
        <v/>
      </c>
      <c r="E51" s="31">
        <f>SUMIFS('Данные'!$E:$E,'Данные'!$A:$A,"&gt;="&amp;EDATE(EDATE(DATE(YEAR($E$3),MONTH($E$3),1),-($E$3&lt;EOMONTH($E$3,0))),-3),'Данные'!$A:$A,"&lt;"&amp;EOMONTH(EDATE(EDATE(DATE(YEAR($E$3),MONTH($E$3),1),-($E$3&lt;EOMONTH($E$3,0))),-3),0)+1,'Данные'!$B:$B,$B$3)</f>
        <v/>
      </c>
      <c r="F51" s="32">
        <f>IFERROR(E51/D51,"")</f>
        <v/>
      </c>
      <c r="G51" s="33">
        <f>IFERROR(B51/E51,"")</f>
        <v/>
      </c>
      <c r="H51" s="31">
        <f>SUMIFS('Данные'!$F:$F,'Данные'!$A:$A,"&gt;="&amp;EDATE(EDATE(DATE(YEAR($E$3),MONTH($E$3),1),-($E$3&lt;EOMONTH($E$3,0))),-3),'Данные'!$A:$A,"&lt;"&amp;EOMONTH(EDATE(EDATE(DATE(YEAR($E$3),MONTH($E$3),1),-($E$3&lt;EOMONTH($E$3,0))),-3),0)+1,'Данные'!$B:$B,$B$3)</f>
        <v/>
      </c>
      <c r="I51" s="33">
        <f>IFERROR(B51/H51,"")</f>
        <v/>
      </c>
      <c r="J51" s="34">
        <f>IFERROR(H51/E51,"")</f>
        <v/>
      </c>
    </row>
    <row r="52">
      <c r="A52" s="36">
        <f>CHOOSE(MONTH(EDATE(EDATE(DATE(YEAR($E$3),MONTH($E$3),1),-($E$3&lt;EOMONTH($E$3,0))),-2)),"Январь","Февраль","Март","Апрель","Май","Июнь","Июль","Август","Сентябрь","Октябрь","Ноябрь","Декабрь")&amp;" "&amp;YEAR(EDATE(EDATE(DATE(YEAR($E$3),MONTH($E$3),1),-($E$3&lt;EOMONTH($E$3,0))),-2))</f>
        <v/>
      </c>
      <c r="B52" s="37">
        <f>SUMIFS('Данные'!$C:$C,'Данные'!$A:$A,"&gt;="&amp;EDATE(EDATE(DATE(YEAR($E$3),MONTH($E$3),1),-($E$3&lt;EOMONTH($E$3,0))),-2),'Данные'!$A:$A,"&lt;"&amp;EOMONTH(EDATE(EDATE(DATE(YEAR($E$3),MONTH($E$3),1),-($E$3&lt;EOMONTH($E$3,0))),-2),0)+1,'Данные'!$B:$B,$B$3)</f>
        <v/>
      </c>
      <c r="C52" s="37">
        <f>B52*(100+22)/100</f>
        <v/>
      </c>
      <c r="D52" s="38">
        <f>SUMIFS('Данные'!$D:$D,'Данные'!$A:$A,"&gt;="&amp;EDATE(EDATE(DATE(YEAR($E$3),MONTH($E$3),1),-($E$3&lt;EOMONTH($E$3,0))),-2),'Данные'!$A:$A,"&lt;"&amp;EOMONTH(EDATE(EDATE(DATE(YEAR($E$3),MONTH($E$3),1),-($E$3&lt;EOMONTH($E$3,0))),-2),0)+1,'Данные'!$B:$B,$B$3)</f>
        <v/>
      </c>
      <c r="E52" s="38">
        <f>SUMIFS('Данные'!$E:$E,'Данные'!$A:$A,"&gt;="&amp;EDATE(EDATE(DATE(YEAR($E$3),MONTH($E$3),1),-($E$3&lt;EOMONTH($E$3,0))),-2),'Данные'!$A:$A,"&lt;"&amp;EOMONTH(EDATE(EDATE(DATE(YEAR($E$3),MONTH($E$3),1),-($E$3&lt;EOMONTH($E$3,0))),-2),0)+1,'Данные'!$B:$B,$B$3)</f>
        <v/>
      </c>
      <c r="F52" s="39">
        <f>IFERROR(E52/D52,"")</f>
        <v/>
      </c>
      <c r="G52" s="40">
        <f>IFERROR(B52/E52,"")</f>
        <v/>
      </c>
      <c r="H52" s="38">
        <f>SUMIFS('Данные'!$F:$F,'Данные'!$A:$A,"&gt;="&amp;EDATE(EDATE(DATE(YEAR($E$3),MONTH($E$3),1),-($E$3&lt;EOMONTH($E$3,0))),-2),'Данные'!$A:$A,"&lt;"&amp;EOMONTH(EDATE(EDATE(DATE(YEAR($E$3),MONTH($E$3),1),-($E$3&lt;EOMONTH($E$3,0))),-2),0)+1,'Данные'!$B:$B,$B$3)</f>
        <v/>
      </c>
      <c r="I52" s="40">
        <f>IFERROR(B52/H52,"")</f>
        <v/>
      </c>
      <c r="J52" s="41">
        <f>IFERROR(H52/E52,"")</f>
        <v/>
      </c>
    </row>
    <row r="53">
      <c r="A53" s="29">
        <f>CHOOSE(MONTH(EDATE(EDATE(DATE(YEAR($E$3),MONTH($E$3),1),-($E$3&lt;EOMONTH($E$3,0))),-1)),"Январь","Февраль","Март","Апрель","Май","Июнь","Июль","Август","Сентябрь","Октябрь","Ноябрь","Декабрь")&amp;" "&amp;YEAR(EDATE(EDATE(DATE(YEAR($E$3),MONTH($E$3),1),-($E$3&lt;EOMONTH($E$3,0))),-1))</f>
        <v/>
      </c>
      <c r="B53" s="30">
        <f>SUMIFS('Данные'!$C:$C,'Данные'!$A:$A,"&gt;="&amp;EDATE(EDATE(DATE(YEAR($E$3),MONTH($E$3),1),-($E$3&lt;EOMONTH($E$3,0))),-1),'Данные'!$A:$A,"&lt;"&amp;EOMONTH(EDATE(EDATE(DATE(YEAR($E$3),MONTH($E$3),1),-($E$3&lt;EOMONTH($E$3,0))),-1),0)+1,'Данные'!$B:$B,$B$3)</f>
        <v/>
      </c>
      <c r="C53" s="30">
        <f>B53*(100+22)/100</f>
        <v/>
      </c>
      <c r="D53" s="31">
        <f>SUMIFS('Данные'!$D:$D,'Данные'!$A:$A,"&gt;="&amp;EDATE(EDATE(DATE(YEAR($E$3),MONTH($E$3),1),-($E$3&lt;EOMONTH($E$3,0))),-1),'Данные'!$A:$A,"&lt;"&amp;EOMONTH(EDATE(EDATE(DATE(YEAR($E$3),MONTH($E$3),1),-($E$3&lt;EOMONTH($E$3,0))),-1),0)+1,'Данные'!$B:$B,$B$3)</f>
        <v/>
      </c>
      <c r="E53" s="31">
        <f>SUMIFS('Данные'!$E:$E,'Данные'!$A:$A,"&gt;="&amp;EDATE(EDATE(DATE(YEAR($E$3),MONTH($E$3),1),-($E$3&lt;EOMONTH($E$3,0))),-1),'Данные'!$A:$A,"&lt;"&amp;EOMONTH(EDATE(EDATE(DATE(YEAR($E$3),MONTH($E$3),1),-($E$3&lt;EOMONTH($E$3,0))),-1),0)+1,'Данные'!$B:$B,$B$3)</f>
        <v/>
      </c>
      <c r="F53" s="32">
        <f>IFERROR(E53/D53,"")</f>
        <v/>
      </c>
      <c r="G53" s="33">
        <f>IFERROR(B53/E53,"")</f>
        <v/>
      </c>
      <c r="H53" s="31">
        <f>SUMIFS('Данные'!$F:$F,'Данные'!$A:$A,"&gt;="&amp;EDATE(EDATE(DATE(YEAR($E$3),MONTH($E$3),1),-($E$3&lt;EOMONTH($E$3,0))),-1),'Данные'!$A:$A,"&lt;"&amp;EOMONTH(EDATE(EDATE(DATE(YEAR($E$3),MONTH($E$3),1),-($E$3&lt;EOMONTH($E$3,0))),-1),0)+1,'Данные'!$B:$B,$B$3)</f>
        <v/>
      </c>
      <c r="I53" s="33">
        <f>IFERROR(B53/H53,"")</f>
        <v/>
      </c>
      <c r="J53" s="34">
        <f>IFERROR(H53/E53,"")</f>
        <v/>
      </c>
    </row>
    <row r="54">
      <c r="A54" s="36">
        <f>CHOOSE(MONTH(EDATE(EDATE(DATE(YEAR($E$3),MONTH($E$3),1),-($E$3&lt;EOMONTH($E$3,0))),0)),"Январь","Февраль","Март","Апрель","Май","Июнь","Июль","Август","Сентябрь","Октябрь","Ноябрь","Декабрь")&amp;" "&amp;YEAR(EDATE(EDATE(DATE(YEAR($E$3),MONTH($E$3),1),-($E$3&lt;EOMONTH($E$3,0))),0))</f>
        <v/>
      </c>
      <c r="B54" s="37">
        <f>SUMIFS('Данные'!$C:$C,'Данные'!$A:$A,"&gt;="&amp;EDATE(EDATE(DATE(YEAR($E$3),MONTH($E$3),1),-($E$3&lt;EOMONTH($E$3,0))),0),'Данные'!$A:$A,"&lt;"&amp;EOMONTH(EDATE(EDATE(DATE(YEAR($E$3),MONTH($E$3),1),-($E$3&lt;EOMONTH($E$3,0))),0),0)+1,'Данные'!$B:$B,$B$3)</f>
        <v/>
      </c>
      <c r="C54" s="37">
        <f>B54*(100+22)/100</f>
        <v/>
      </c>
      <c r="D54" s="38">
        <f>SUMIFS('Данные'!$D:$D,'Данные'!$A:$A,"&gt;="&amp;EDATE(EDATE(DATE(YEAR($E$3),MONTH($E$3),1),-($E$3&lt;EOMONTH($E$3,0))),0),'Данные'!$A:$A,"&lt;"&amp;EOMONTH(EDATE(EDATE(DATE(YEAR($E$3),MONTH($E$3),1),-($E$3&lt;EOMONTH($E$3,0))),0),0)+1,'Данные'!$B:$B,$B$3)</f>
        <v/>
      </c>
      <c r="E54" s="38">
        <f>SUMIFS('Данные'!$E:$E,'Данные'!$A:$A,"&gt;="&amp;EDATE(EDATE(DATE(YEAR($E$3),MONTH($E$3),1),-($E$3&lt;EOMONTH($E$3,0))),0),'Данные'!$A:$A,"&lt;"&amp;EOMONTH(EDATE(EDATE(DATE(YEAR($E$3),MONTH($E$3),1),-($E$3&lt;EOMONTH($E$3,0))),0),0)+1,'Данные'!$B:$B,$B$3)</f>
        <v/>
      </c>
      <c r="F54" s="39">
        <f>IFERROR(E54/D54,"")</f>
        <v/>
      </c>
      <c r="G54" s="40">
        <f>IFERROR(B54/E54,"")</f>
        <v/>
      </c>
      <c r="H54" s="38">
        <f>SUMIFS('Данные'!$F:$F,'Данные'!$A:$A,"&gt;="&amp;EDATE(EDATE(DATE(YEAR($E$3),MONTH($E$3),1),-($E$3&lt;EOMONTH($E$3,0))),0),'Данные'!$A:$A,"&lt;"&amp;EOMONTH(EDATE(EDATE(DATE(YEAR($E$3),MONTH($E$3),1),-($E$3&lt;EOMONTH($E$3,0))),0),0)+1,'Данные'!$B:$B,$B$3)</f>
        <v/>
      </c>
      <c r="I54" s="40">
        <f>IFERROR(B54/H54,"")</f>
        <v/>
      </c>
      <c r="J54" s="41">
        <f>IFERROR(H54/E54,"")</f>
        <v/>
      </c>
    </row>
    <row r="55">
      <c r="A55" s="59" t="inlineStr">
        <is>
          <t>Разница с прошлым месяцем</t>
        </is>
      </c>
      <c r="B55" s="60">
        <f>IFERROR(B54/B53-1,"")</f>
        <v/>
      </c>
      <c r="C55" s="60">
        <f>IFERROR(C54/C53-1,"")</f>
        <v/>
      </c>
      <c r="D55" s="60">
        <f>IFERROR(D54/D53-1,"")</f>
        <v/>
      </c>
      <c r="E55" s="60">
        <f>IFERROR(E54/E53-1,"")</f>
        <v/>
      </c>
      <c r="F55" s="60">
        <f>IFERROR(F54/F53-1,"")</f>
        <v/>
      </c>
      <c r="G55" s="60">
        <f>IFERROR(G54/G53-1,"")</f>
        <v/>
      </c>
      <c r="H55" s="60">
        <f>IFERROR(H54/H53-1,"")</f>
        <v/>
      </c>
      <c r="I55" s="60">
        <f>IFERROR(I54/I53-1,"")</f>
        <v/>
      </c>
      <c r="J55" s="60">
        <f>IFERROR(J54/J53-1,"")</f>
        <v/>
      </c>
    </row>
    <row r="57">
      <c r="A57" s="9">
        <f>"📆 По дням: "&amp;TEXT($K$7,"DD.MM.YYYY")&amp;" — "&amp;TEXT($L$7,"DD.MM.YYYY")</f>
        <v/>
      </c>
    </row>
    <row r="58">
      <c r="A58" s="11" t="inlineStr">
        <is>
          <t>День</t>
        </is>
      </c>
      <c r="B58" s="11" t="inlineStr">
        <is>
          <t>Расход</t>
        </is>
      </c>
      <c r="C58" s="11" t="inlineStr">
        <is>
          <t>Расход с НДС</t>
        </is>
      </c>
      <c r="D58" s="11" t="inlineStr">
        <is>
          <t>Показы</t>
        </is>
      </c>
      <c r="E58" s="11" t="inlineStr">
        <is>
          <t>Клики</t>
        </is>
      </c>
      <c r="F58" s="11" t="inlineStr">
        <is>
          <t>CTR</t>
        </is>
      </c>
      <c r="G58" s="11" t="inlineStr">
        <is>
          <t>CPC</t>
        </is>
      </c>
      <c r="H58" s="11" t="inlineStr">
        <is>
          <t>Подписки</t>
        </is>
      </c>
      <c r="I58" s="11" t="inlineStr">
        <is>
          <t>Цена подписки</t>
        </is>
      </c>
      <c r="J58" s="11" t="inlineStr">
        <is>
          <t>CR в подписку</t>
        </is>
      </c>
    </row>
    <row r="59">
      <c r="A59" s="29">
        <f>IF(($K$7+0)&gt;$L$7,"",TEXT(($K$7+0),"DD.MM")&amp;" "&amp;CHOOSE(WEEKDAY(($K$7+0),2),"пн","вт","ср","чт","пт","сб","вс"))</f>
        <v/>
      </c>
      <c r="B59" s="30">
        <f>IF(($K$7+0)&gt;$L$7,"",SUMIFS('Данные'!$C:$C,'Данные'!$A:$A,"&gt;="&amp;($K$7+0),'Данные'!$A:$A,"&lt;"&amp;($K$7+0)+1,'Данные'!$B:$B,$B$3))</f>
        <v/>
      </c>
      <c r="C59" s="30">
        <f>IF(($K$7+0)&gt;$L$7,"",B59*(100+22)/100)</f>
        <v/>
      </c>
      <c r="D59" s="31">
        <f>IF(($K$7+0)&gt;$L$7,"",SUMIFS('Данные'!$D:$D,'Данные'!$A:$A,"&gt;="&amp;($K$7+0),'Данные'!$A:$A,"&lt;"&amp;($K$7+0)+1,'Данные'!$B:$B,$B$3))</f>
        <v/>
      </c>
      <c r="E59" s="31">
        <f>IF(($K$7+0)&gt;$L$7,"",SUMIFS('Данные'!$E:$E,'Данные'!$A:$A,"&gt;="&amp;($K$7+0),'Данные'!$A:$A,"&lt;"&amp;($K$7+0)+1,'Данные'!$B:$B,$B$3))</f>
        <v/>
      </c>
      <c r="F59" s="32">
        <f>IF(($K$7+0)&gt;$L$7,"",IFERROR(E59/D59,""))</f>
        <v/>
      </c>
      <c r="G59" s="33">
        <f>IF(($K$7+0)&gt;$L$7,"",IFERROR(B59/E59,""))</f>
        <v/>
      </c>
      <c r="H59" s="31">
        <f>IF(($K$7+0)&gt;$L$7,"",SUMIFS('Данные'!$F:$F,'Данные'!$A:$A,"&gt;="&amp;($K$7+0),'Данные'!$A:$A,"&lt;"&amp;($K$7+0)+1,'Данные'!$B:$B,$B$3))</f>
        <v/>
      </c>
      <c r="I59" s="33">
        <f>IF(($K$7+0)&gt;$L$7,"",IFERROR(B59/H59,""))</f>
        <v/>
      </c>
      <c r="J59" s="34">
        <f>IF(($K$7+0)&gt;$L$7,"",IFERROR(H59/E59,""))</f>
        <v/>
      </c>
    </row>
    <row r="60">
      <c r="A60" s="36">
        <f>IF(($K$7+1)&gt;$L$7,"",TEXT(($K$7+1),"DD.MM")&amp;" "&amp;CHOOSE(WEEKDAY(($K$7+1),2),"пн","вт","ср","чт","пт","сб","вс"))</f>
        <v/>
      </c>
      <c r="B60" s="37">
        <f>IF(($K$7+1)&gt;$L$7,"",SUMIFS('Данные'!$C:$C,'Данные'!$A:$A,"&gt;="&amp;($K$7+1),'Данные'!$A:$A,"&lt;"&amp;($K$7+1)+1,'Данные'!$B:$B,$B$3))</f>
        <v/>
      </c>
      <c r="C60" s="37">
        <f>IF(($K$7+1)&gt;$L$7,"",B60*(100+22)/100)</f>
        <v/>
      </c>
      <c r="D60" s="38">
        <f>IF(($K$7+1)&gt;$L$7,"",SUMIFS('Данные'!$D:$D,'Данные'!$A:$A,"&gt;="&amp;($K$7+1),'Данные'!$A:$A,"&lt;"&amp;($K$7+1)+1,'Данные'!$B:$B,$B$3))</f>
        <v/>
      </c>
      <c r="E60" s="38">
        <f>IF(($K$7+1)&gt;$L$7,"",SUMIFS('Данные'!$E:$E,'Данные'!$A:$A,"&gt;="&amp;($K$7+1),'Данные'!$A:$A,"&lt;"&amp;($K$7+1)+1,'Данные'!$B:$B,$B$3))</f>
        <v/>
      </c>
      <c r="F60" s="39">
        <f>IF(($K$7+1)&gt;$L$7,"",IFERROR(E60/D60,""))</f>
        <v/>
      </c>
      <c r="G60" s="40">
        <f>IF(($K$7+1)&gt;$L$7,"",IFERROR(B60/E60,""))</f>
        <v/>
      </c>
      <c r="H60" s="38">
        <f>IF(($K$7+1)&gt;$L$7,"",SUMIFS('Данные'!$F:$F,'Данные'!$A:$A,"&gt;="&amp;($K$7+1),'Данные'!$A:$A,"&lt;"&amp;($K$7+1)+1,'Данные'!$B:$B,$B$3))</f>
        <v/>
      </c>
      <c r="I60" s="40">
        <f>IF(($K$7+1)&gt;$L$7,"",IFERROR(B60/H60,""))</f>
        <v/>
      </c>
      <c r="J60" s="41">
        <f>IF(($K$7+1)&gt;$L$7,"",IFERROR(H60/E60,""))</f>
        <v/>
      </c>
    </row>
    <row r="61">
      <c r="A61" s="29">
        <f>IF(($K$7+2)&gt;$L$7,"",TEXT(($K$7+2),"DD.MM")&amp;" "&amp;CHOOSE(WEEKDAY(($K$7+2),2),"пн","вт","ср","чт","пт","сб","вс"))</f>
        <v/>
      </c>
      <c r="B61" s="30">
        <f>IF(($K$7+2)&gt;$L$7,"",SUMIFS('Данные'!$C:$C,'Данные'!$A:$A,"&gt;="&amp;($K$7+2),'Данные'!$A:$A,"&lt;"&amp;($K$7+2)+1,'Данные'!$B:$B,$B$3))</f>
        <v/>
      </c>
      <c r="C61" s="30">
        <f>IF(($K$7+2)&gt;$L$7,"",B61*(100+22)/100)</f>
        <v/>
      </c>
      <c r="D61" s="31">
        <f>IF(($K$7+2)&gt;$L$7,"",SUMIFS('Данные'!$D:$D,'Данные'!$A:$A,"&gt;="&amp;($K$7+2),'Данные'!$A:$A,"&lt;"&amp;($K$7+2)+1,'Данные'!$B:$B,$B$3))</f>
        <v/>
      </c>
      <c r="E61" s="31">
        <f>IF(($K$7+2)&gt;$L$7,"",SUMIFS('Данные'!$E:$E,'Данные'!$A:$A,"&gt;="&amp;($K$7+2),'Данные'!$A:$A,"&lt;"&amp;($K$7+2)+1,'Данные'!$B:$B,$B$3))</f>
        <v/>
      </c>
      <c r="F61" s="32">
        <f>IF(($K$7+2)&gt;$L$7,"",IFERROR(E61/D61,""))</f>
        <v/>
      </c>
      <c r="G61" s="33">
        <f>IF(($K$7+2)&gt;$L$7,"",IFERROR(B61/E61,""))</f>
        <v/>
      </c>
      <c r="H61" s="31">
        <f>IF(($K$7+2)&gt;$L$7,"",SUMIFS('Данные'!$F:$F,'Данные'!$A:$A,"&gt;="&amp;($K$7+2),'Данные'!$A:$A,"&lt;"&amp;($K$7+2)+1,'Данные'!$B:$B,$B$3))</f>
        <v/>
      </c>
      <c r="I61" s="33">
        <f>IF(($K$7+2)&gt;$L$7,"",IFERROR(B61/H61,""))</f>
        <v/>
      </c>
      <c r="J61" s="34">
        <f>IF(($K$7+2)&gt;$L$7,"",IFERROR(H61/E61,""))</f>
        <v/>
      </c>
    </row>
    <row r="62">
      <c r="A62" s="36">
        <f>IF(($K$7+3)&gt;$L$7,"",TEXT(($K$7+3),"DD.MM")&amp;" "&amp;CHOOSE(WEEKDAY(($K$7+3),2),"пн","вт","ср","чт","пт","сб","вс"))</f>
        <v/>
      </c>
      <c r="B62" s="37">
        <f>IF(($K$7+3)&gt;$L$7,"",SUMIFS('Данные'!$C:$C,'Данные'!$A:$A,"&gt;="&amp;($K$7+3),'Данные'!$A:$A,"&lt;"&amp;($K$7+3)+1,'Данные'!$B:$B,$B$3))</f>
        <v/>
      </c>
      <c r="C62" s="37">
        <f>IF(($K$7+3)&gt;$L$7,"",B62*(100+22)/100)</f>
        <v/>
      </c>
      <c r="D62" s="38">
        <f>IF(($K$7+3)&gt;$L$7,"",SUMIFS('Данные'!$D:$D,'Данные'!$A:$A,"&gt;="&amp;($K$7+3),'Данные'!$A:$A,"&lt;"&amp;($K$7+3)+1,'Данные'!$B:$B,$B$3))</f>
        <v/>
      </c>
      <c r="E62" s="38">
        <f>IF(($K$7+3)&gt;$L$7,"",SUMIFS('Данные'!$E:$E,'Данные'!$A:$A,"&gt;="&amp;($K$7+3),'Данные'!$A:$A,"&lt;"&amp;($K$7+3)+1,'Данные'!$B:$B,$B$3))</f>
        <v/>
      </c>
      <c r="F62" s="39">
        <f>IF(($K$7+3)&gt;$L$7,"",IFERROR(E62/D62,""))</f>
        <v/>
      </c>
      <c r="G62" s="40">
        <f>IF(($K$7+3)&gt;$L$7,"",IFERROR(B62/E62,""))</f>
        <v/>
      </c>
      <c r="H62" s="38">
        <f>IF(($K$7+3)&gt;$L$7,"",SUMIFS('Данные'!$F:$F,'Данные'!$A:$A,"&gt;="&amp;($K$7+3),'Данные'!$A:$A,"&lt;"&amp;($K$7+3)+1,'Данные'!$B:$B,$B$3))</f>
        <v/>
      </c>
      <c r="I62" s="40">
        <f>IF(($K$7+3)&gt;$L$7,"",IFERROR(B62/H62,""))</f>
        <v/>
      </c>
      <c r="J62" s="41">
        <f>IF(($K$7+3)&gt;$L$7,"",IFERROR(H62/E62,""))</f>
        <v/>
      </c>
    </row>
    <row r="63">
      <c r="A63" s="29">
        <f>IF(($K$7+4)&gt;$L$7,"",TEXT(($K$7+4),"DD.MM")&amp;" "&amp;CHOOSE(WEEKDAY(($K$7+4),2),"пн","вт","ср","чт","пт","сб","вс"))</f>
        <v/>
      </c>
      <c r="B63" s="30">
        <f>IF(($K$7+4)&gt;$L$7,"",SUMIFS('Данные'!$C:$C,'Данные'!$A:$A,"&gt;="&amp;($K$7+4),'Данные'!$A:$A,"&lt;"&amp;($K$7+4)+1,'Данные'!$B:$B,$B$3))</f>
        <v/>
      </c>
      <c r="C63" s="30">
        <f>IF(($K$7+4)&gt;$L$7,"",B63*(100+22)/100)</f>
        <v/>
      </c>
      <c r="D63" s="31">
        <f>IF(($K$7+4)&gt;$L$7,"",SUMIFS('Данные'!$D:$D,'Данные'!$A:$A,"&gt;="&amp;($K$7+4),'Данные'!$A:$A,"&lt;"&amp;($K$7+4)+1,'Данные'!$B:$B,$B$3))</f>
        <v/>
      </c>
      <c r="E63" s="31">
        <f>IF(($K$7+4)&gt;$L$7,"",SUMIFS('Данные'!$E:$E,'Данные'!$A:$A,"&gt;="&amp;($K$7+4),'Данные'!$A:$A,"&lt;"&amp;($K$7+4)+1,'Данные'!$B:$B,$B$3))</f>
        <v/>
      </c>
      <c r="F63" s="32">
        <f>IF(($K$7+4)&gt;$L$7,"",IFERROR(E63/D63,""))</f>
        <v/>
      </c>
      <c r="G63" s="33">
        <f>IF(($K$7+4)&gt;$L$7,"",IFERROR(B63/E63,""))</f>
        <v/>
      </c>
      <c r="H63" s="31">
        <f>IF(($K$7+4)&gt;$L$7,"",SUMIFS('Данные'!$F:$F,'Данные'!$A:$A,"&gt;="&amp;($K$7+4),'Данные'!$A:$A,"&lt;"&amp;($K$7+4)+1,'Данные'!$B:$B,$B$3))</f>
        <v/>
      </c>
      <c r="I63" s="33">
        <f>IF(($K$7+4)&gt;$L$7,"",IFERROR(B63/H63,""))</f>
        <v/>
      </c>
      <c r="J63" s="34">
        <f>IF(($K$7+4)&gt;$L$7,"",IFERROR(H63/E63,""))</f>
        <v/>
      </c>
    </row>
    <row r="64">
      <c r="A64" s="36">
        <f>IF(($K$7+5)&gt;$L$7,"",TEXT(($K$7+5),"DD.MM")&amp;" "&amp;CHOOSE(WEEKDAY(($K$7+5),2),"пн","вт","ср","чт","пт","сб","вс"))</f>
        <v/>
      </c>
      <c r="B64" s="37">
        <f>IF(($K$7+5)&gt;$L$7,"",SUMIFS('Данные'!$C:$C,'Данные'!$A:$A,"&gt;="&amp;($K$7+5),'Данные'!$A:$A,"&lt;"&amp;($K$7+5)+1,'Данные'!$B:$B,$B$3))</f>
        <v/>
      </c>
      <c r="C64" s="37">
        <f>IF(($K$7+5)&gt;$L$7,"",B64*(100+22)/100)</f>
        <v/>
      </c>
      <c r="D64" s="38">
        <f>IF(($K$7+5)&gt;$L$7,"",SUMIFS('Данные'!$D:$D,'Данные'!$A:$A,"&gt;="&amp;($K$7+5),'Данные'!$A:$A,"&lt;"&amp;($K$7+5)+1,'Данные'!$B:$B,$B$3))</f>
        <v/>
      </c>
      <c r="E64" s="38">
        <f>IF(($K$7+5)&gt;$L$7,"",SUMIFS('Данные'!$E:$E,'Данные'!$A:$A,"&gt;="&amp;($K$7+5),'Данные'!$A:$A,"&lt;"&amp;($K$7+5)+1,'Данные'!$B:$B,$B$3))</f>
        <v/>
      </c>
      <c r="F64" s="39">
        <f>IF(($K$7+5)&gt;$L$7,"",IFERROR(E64/D64,""))</f>
        <v/>
      </c>
      <c r="G64" s="40">
        <f>IF(($K$7+5)&gt;$L$7,"",IFERROR(B64/E64,""))</f>
        <v/>
      </c>
      <c r="H64" s="38">
        <f>IF(($K$7+5)&gt;$L$7,"",SUMIFS('Данные'!$F:$F,'Данные'!$A:$A,"&gt;="&amp;($K$7+5),'Данные'!$A:$A,"&lt;"&amp;($K$7+5)+1,'Данные'!$B:$B,$B$3))</f>
        <v/>
      </c>
      <c r="I64" s="40">
        <f>IF(($K$7+5)&gt;$L$7,"",IFERROR(B64/H64,""))</f>
        <v/>
      </c>
      <c r="J64" s="41">
        <f>IF(($K$7+5)&gt;$L$7,"",IFERROR(H64/E64,""))</f>
        <v/>
      </c>
    </row>
    <row r="65">
      <c r="A65" s="29">
        <f>IF(($K$7+6)&gt;$L$7,"",TEXT(($K$7+6),"DD.MM")&amp;" "&amp;CHOOSE(WEEKDAY(($K$7+6),2),"пн","вт","ср","чт","пт","сб","вс"))</f>
        <v/>
      </c>
      <c r="B65" s="30">
        <f>IF(($K$7+6)&gt;$L$7,"",SUMIFS('Данные'!$C:$C,'Данные'!$A:$A,"&gt;="&amp;($K$7+6),'Данные'!$A:$A,"&lt;"&amp;($K$7+6)+1,'Данные'!$B:$B,$B$3))</f>
        <v/>
      </c>
      <c r="C65" s="30">
        <f>IF(($K$7+6)&gt;$L$7,"",B65*(100+22)/100)</f>
        <v/>
      </c>
      <c r="D65" s="31">
        <f>IF(($K$7+6)&gt;$L$7,"",SUMIFS('Данные'!$D:$D,'Данные'!$A:$A,"&gt;="&amp;($K$7+6),'Данные'!$A:$A,"&lt;"&amp;($K$7+6)+1,'Данные'!$B:$B,$B$3))</f>
        <v/>
      </c>
      <c r="E65" s="31">
        <f>IF(($K$7+6)&gt;$L$7,"",SUMIFS('Данные'!$E:$E,'Данные'!$A:$A,"&gt;="&amp;($K$7+6),'Данные'!$A:$A,"&lt;"&amp;($K$7+6)+1,'Данные'!$B:$B,$B$3))</f>
        <v/>
      </c>
      <c r="F65" s="32">
        <f>IF(($K$7+6)&gt;$L$7,"",IFERROR(E65/D65,""))</f>
        <v/>
      </c>
      <c r="G65" s="33">
        <f>IF(($K$7+6)&gt;$L$7,"",IFERROR(B65/E65,""))</f>
        <v/>
      </c>
      <c r="H65" s="31">
        <f>IF(($K$7+6)&gt;$L$7,"",SUMIFS('Данные'!$F:$F,'Данные'!$A:$A,"&gt;="&amp;($K$7+6),'Данные'!$A:$A,"&lt;"&amp;($K$7+6)+1,'Данные'!$B:$B,$B$3))</f>
        <v/>
      </c>
      <c r="I65" s="33">
        <f>IF(($K$7+6)&gt;$L$7,"",IFERROR(B65/H65,""))</f>
        <v/>
      </c>
      <c r="J65" s="34">
        <f>IF(($K$7+6)&gt;$L$7,"",IFERROR(H65/E65,""))</f>
        <v/>
      </c>
    </row>
    <row r="66">
      <c r="A66" s="36">
        <f>IF(($K$7+7)&gt;$L$7,"",TEXT(($K$7+7),"DD.MM")&amp;" "&amp;CHOOSE(WEEKDAY(($K$7+7),2),"пн","вт","ср","чт","пт","сб","вс"))</f>
        <v/>
      </c>
      <c r="B66" s="37">
        <f>IF(($K$7+7)&gt;$L$7,"",SUMIFS('Данные'!$C:$C,'Данные'!$A:$A,"&gt;="&amp;($K$7+7),'Данные'!$A:$A,"&lt;"&amp;($K$7+7)+1,'Данные'!$B:$B,$B$3))</f>
        <v/>
      </c>
      <c r="C66" s="37">
        <f>IF(($K$7+7)&gt;$L$7,"",B66*(100+22)/100)</f>
        <v/>
      </c>
      <c r="D66" s="38">
        <f>IF(($K$7+7)&gt;$L$7,"",SUMIFS('Данные'!$D:$D,'Данные'!$A:$A,"&gt;="&amp;($K$7+7),'Данные'!$A:$A,"&lt;"&amp;($K$7+7)+1,'Данные'!$B:$B,$B$3))</f>
        <v/>
      </c>
      <c r="E66" s="38">
        <f>IF(($K$7+7)&gt;$L$7,"",SUMIFS('Данные'!$E:$E,'Данные'!$A:$A,"&gt;="&amp;($K$7+7),'Данные'!$A:$A,"&lt;"&amp;($K$7+7)+1,'Данные'!$B:$B,$B$3))</f>
        <v/>
      </c>
      <c r="F66" s="39">
        <f>IF(($K$7+7)&gt;$L$7,"",IFERROR(E66/D66,""))</f>
        <v/>
      </c>
      <c r="G66" s="40">
        <f>IF(($K$7+7)&gt;$L$7,"",IFERROR(B66/E66,""))</f>
        <v/>
      </c>
      <c r="H66" s="38">
        <f>IF(($K$7+7)&gt;$L$7,"",SUMIFS('Данные'!$F:$F,'Данные'!$A:$A,"&gt;="&amp;($K$7+7),'Данные'!$A:$A,"&lt;"&amp;($K$7+7)+1,'Данные'!$B:$B,$B$3))</f>
        <v/>
      </c>
      <c r="I66" s="40">
        <f>IF(($K$7+7)&gt;$L$7,"",IFERROR(B66/H66,""))</f>
        <v/>
      </c>
      <c r="J66" s="41">
        <f>IF(($K$7+7)&gt;$L$7,"",IFERROR(H66/E66,""))</f>
        <v/>
      </c>
    </row>
    <row r="67">
      <c r="A67" s="29">
        <f>IF(($K$7+8)&gt;$L$7,"",TEXT(($K$7+8),"DD.MM")&amp;" "&amp;CHOOSE(WEEKDAY(($K$7+8),2),"пн","вт","ср","чт","пт","сб","вс"))</f>
        <v/>
      </c>
      <c r="B67" s="30">
        <f>IF(($K$7+8)&gt;$L$7,"",SUMIFS('Данные'!$C:$C,'Данные'!$A:$A,"&gt;="&amp;($K$7+8),'Данные'!$A:$A,"&lt;"&amp;($K$7+8)+1,'Данные'!$B:$B,$B$3))</f>
        <v/>
      </c>
      <c r="C67" s="30">
        <f>IF(($K$7+8)&gt;$L$7,"",B67*(100+22)/100)</f>
        <v/>
      </c>
      <c r="D67" s="31">
        <f>IF(($K$7+8)&gt;$L$7,"",SUMIFS('Данные'!$D:$D,'Данные'!$A:$A,"&gt;="&amp;($K$7+8),'Данные'!$A:$A,"&lt;"&amp;($K$7+8)+1,'Данные'!$B:$B,$B$3))</f>
        <v/>
      </c>
      <c r="E67" s="31">
        <f>IF(($K$7+8)&gt;$L$7,"",SUMIFS('Данные'!$E:$E,'Данные'!$A:$A,"&gt;="&amp;($K$7+8),'Данные'!$A:$A,"&lt;"&amp;($K$7+8)+1,'Данные'!$B:$B,$B$3))</f>
        <v/>
      </c>
      <c r="F67" s="32">
        <f>IF(($K$7+8)&gt;$L$7,"",IFERROR(E67/D67,""))</f>
        <v/>
      </c>
      <c r="G67" s="33">
        <f>IF(($K$7+8)&gt;$L$7,"",IFERROR(B67/E67,""))</f>
        <v/>
      </c>
      <c r="H67" s="31">
        <f>IF(($K$7+8)&gt;$L$7,"",SUMIFS('Данные'!$F:$F,'Данные'!$A:$A,"&gt;="&amp;($K$7+8),'Данные'!$A:$A,"&lt;"&amp;($K$7+8)+1,'Данные'!$B:$B,$B$3))</f>
        <v/>
      </c>
      <c r="I67" s="33">
        <f>IF(($K$7+8)&gt;$L$7,"",IFERROR(B67/H67,""))</f>
        <v/>
      </c>
      <c r="J67" s="34">
        <f>IF(($K$7+8)&gt;$L$7,"",IFERROR(H67/E67,""))</f>
        <v/>
      </c>
    </row>
    <row r="68">
      <c r="A68" s="36">
        <f>IF(($K$7+9)&gt;$L$7,"",TEXT(($K$7+9),"DD.MM")&amp;" "&amp;CHOOSE(WEEKDAY(($K$7+9),2),"пн","вт","ср","чт","пт","сб","вс"))</f>
        <v/>
      </c>
      <c r="B68" s="37">
        <f>IF(($K$7+9)&gt;$L$7,"",SUMIFS('Данные'!$C:$C,'Данные'!$A:$A,"&gt;="&amp;($K$7+9),'Данные'!$A:$A,"&lt;"&amp;($K$7+9)+1,'Данные'!$B:$B,$B$3))</f>
        <v/>
      </c>
      <c r="C68" s="37">
        <f>IF(($K$7+9)&gt;$L$7,"",B68*(100+22)/100)</f>
        <v/>
      </c>
      <c r="D68" s="38">
        <f>IF(($K$7+9)&gt;$L$7,"",SUMIFS('Данные'!$D:$D,'Данные'!$A:$A,"&gt;="&amp;($K$7+9),'Данные'!$A:$A,"&lt;"&amp;($K$7+9)+1,'Данные'!$B:$B,$B$3))</f>
        <v/>
      </c>
      <c r="E68" s="38">
        <f>IF(($K$7+9)&gt;$L$7,"",SUMIFS('Данные'!$E:$E,'Данные'!$A:$A,"&gt;="&amp;($K$7+9),'Данные'!$A:$A,"&lt;"&amp;($K$7+9)+1,'Данные'!$B:$B,$B$3))</f>
        <v/>
      </c>
      <c r="F68" s="39">
        <f>IF(($K$7+9)&gt;$L$7,"",IFERROR(E68/D68,""))</f>
        <v/>
      </c>
      <c r="G68" s="40">
        <f>IF(($K$7+9)&gt;$L$7,"",IFERROR(B68/E68,""))</f>
        <v/>
      </c>
      <c r="H68" s="38">
        <f>IF(($K$7+9)&gt;$L$7,"",SUMIFS('Данные'!$F:$F,'Данные'!$A:$A,"&gt;="&amp;($K$7+9),'Данные'!$A:$A,"&lt;"&amp;($K$7+9)+1,'Данные'!$B:$B,$B$3))</f>
        <v/>
      </c>
      <c r="I68" s="40">
        <f>IF(($K$7+9)&gt;$L$7,"",IFERROR(B68/H68,""))</f>
        <v/>
      </c>
      <c r="J68" s="41">
        <f>IF(($K$7+9)&gt;$L$7,"",IFERROR(H68/E68,""))</f>
        <v/>
      </c>
    </row>
    <row r="69">
      <c r="A69" s="29">
        <f>IF(($K$7+10)&gt;$L$7,"",TEXT(($K$7+10),"DD.MM")&amp;" "&amp;CHOOSE(WEEKDAY(($K$7+10),2),"пн","вт","ср","чт","пт","сб","вс"))</f>
        <v/>
      </c>
      <c r="B69" s="30">
        <f>IF(($K$7+10)&gt;$L$7,"",SUMIFS('Данные'!$C:$C,'Данные'!$A:$A,"&gt;="&amp;($K$7+10),'Данные'!$A:$A,"&lt;"&amp;($K$7+10)+1,'Данные'!$B:$B,$B$3))</f>
        <v/>
      </c>
      <c r="C69" s="30">
        <f>IF(($K$7+10)&gt;$L$7,"",B69*(100+22)/100)</f>
        <v/>
      </c>
      <c r="D69" s="31">
        <f>IF(($K$7+10)&gt;$L$7,"",SUMIFS('Данные'!$D:$D,'Данные'!$A:$A,"&gt;="&amp;($K$7+10),'Данные'!$A:$A,"&lt;"&amp;($K$7+10)+1,'Данные'!$B:$B,$B$3))</f>
        <v/>
      </c>
      <c r="E69" s="31">
        <f>IF(($K$7+10)&gt;$L$7,"",SUMIFS('Данные'!$E:$E,'Данные'!$A:$A,"&gt;="&amp;($K$7+10),'Данные'!$A:$A,"&lt;"&amp;($K$7+10)+1,'Данные'!$B:$B,$B$3))</f>
        <v/>
      </c>
      <c r="F69" s="32">
        <f>IF(($K$7+10)&gt;$L$7,"",IFERROR(E69/D69,""))</f>
        <v/>
      </c>
      <c r="G69" s="33">
        <f>IF(($K$7+10)&gt;$L$7,"",IFERROR(B69/E69,""))</f>
        <v/>
      </c>
      <c r="H69" s="31">
        <f>IF(($K$7+10)&gt;$L$7,"",SUMIFS('Данные'!$F:$F,'Данные'!$A:$A,"&gt;="&amp;($K$7+10),'Данные'!$A:$A,"&lt;"&amp;($K$7+10)+1,'Данные'!$B:$B,$B$3))</f>
        <v/>
      </c>
      <c r="I69" s="33">
        <f>IF(($K$7+10)&gt;$L$7,"",IFERROR(B69/H69,""))</f>
        <v/>
      </c>
      <c r="J69" s="34">
        <f>IF(($K$7+10)&gt;$L$7,"",IFERROR(H69/E69,""))</f>
        <v/>
      </c>
    </row>
    <row r="70">
      <c r="A70" s="36">
        <f>IF(($K$7+11)&gt;$L$7,"",TEXT(($K$7+11),"DD.MM")&amp;" "&amp;CHOOSE(WEEKDAY(($K$7+11),2),"пн","вт","ср","чт","пт","сб","вс"))</f>
        <v/>
      </c>
      <c r="B70" s="37">
        <f>IF(($K$7+11)&gt;$L$7,"",SUMIFS('Данные'!$C:$C,'Данные'!$A:$A,"&gt;="&amp;($K$7+11),'Данные'!$A:$A,"&lt;"&amp;($K$7+11)+1,'Данные'!$B:$B,$B$3))</f>
        <v/>
      </c>
      <c r="C70" s="37">
        <f>IF(($K$7+11)&gt;$L$7,"",B70*(100+22)/100)</f>
        <v/>
      </c>
      <c r="D70" s="38">
        <f>IF(($K$7+11)&gt;$L$7,"",SUMIFS('Данные'!$D:$D,'Данные'!$A:$A,"&gt;="&amp;($K$7+11),'Данные'!$A:$A,"&lt;"&amp;($K$7+11)+1,'Данные'!$B:$B,$B$3))</f>
        <v/>
      </c>
      <c r="E70" s="38">
        <f>IF(($K$7+11)&gt;$L$7,"",SUMIFS('Данные'!$E:$E,'Данные'!$A:$A,"&gt;="&amp;($K$7+11),'Данные'!$A:$A,"&lt;"&amp;($K$7+11)+1,'Данные'!$B:$B,$B$3))</f>
        <v/>
      </c>
      <c r="F70" s="39">
        <f>IF(($K$7+11)&gt;$L$7,"",IFERROR(E70/D70,""))</f>
        <v/>
      </c>
      <c r="G70" s="40">
        <f>IF(($K$7+11)&gt;$L$7,"",IFERROR(B70/E70,""))</f>
        <v/>
      </c>
      <c r="H70" s="38">
        <f>IF(($K$7+11)&gt;$L$7,"",SUMIFS('Данные'!$F:$F,'Данные'!$A:$A,"&gt;="&amp;($K$7+11),'Данные'!$A:$A,"&lt;"&amp;($K$7+11)+1,'Данные'!$B:$B,$B$3))</f>
        <v/>
      </c>
      <c r="I70" s="40">
        <f>IF(($K$7+11)&gt;$L$7,"",IFERROR(B70/H70,""))</f>
        <v/>
      </c>
      <c r="J70" s="41">
        <f>IF(($K$7+11)&gt;$L$7,"",IFERROR(H70/E70,""))</f>
        <v/>
      </c>
    </row>
    <row r="71">
      <c r="A71" s="29">
        <f>IF(($K$7+12)&gt;$L$7,"",TEXT(($K$7+12),"DD.MM")&amp;" "&amp;CHOOSE(WEEKDAY(($K$7+12),2),"пн","вт","ср","чт","пт","сб","вс"))</f>
        <v/>
      </c>
      <c r="B71" s="30">
        <f>IF(($K$7+12)&gt;$L$7,"",SUMIFS('Данные'!$C:$C,'Данные'!$A:$A,"&gt;="&amp;($K$7+12),'Данные'!$A:$A,"&lt;"&amp;($K$7+12)+1,'Данные'!$B:$B,$B$3))</f>
        <v/>
      </c>
      <c r="C71" s="30">
        <f>IF(($K$7+12)&gt;$L$7,"",B71*(100+22)/100)</f>
        <v/>
      </c>
      <c r="D71" s="31">
        <f>IF(($K$7+12)&gt;$L$7,"",SUMIFS('Данные'!$D:$D,'Данные'!$A:$A,"&gt;="&amp;($K$7+12),'Данные'!$A:$A,"&lt;"&amp;($K$7+12)+1,'Данные'!$B:$B,$B$3))</f>
        <v/>
      </c>
      <c r="E71" s="31">
        <f>IF(($K$7+12)&gt;$L$7,"",SUMIFS('Данные'!$E:$E,'Данные'!$A:$A,"&gt;="&amp;($K$7+12),'Данные'!$A:$A,"&lt;"&amp;($K$7+12)+1,'Данные'!$B:$B,$B$3))</f>
        <v/>
      </c>
      <c r="F71" s="32">
        <f>IF(($K$7+12)&gt;$L$7,"",IFERROR(E71/D71,""))</f>
        <v/>
      </c>
      <c r="G71" s="33">
        <f>IF(($K$7+12)&gt;$L$7,"",IFERROR(B71/E71,""))</f>
        <v/>
      </c>
      <c r="H71" s="31">
        <f>IF(($K$7+12)&gt;$L$7,"",SUMIFS('Данные'!$F:$F,'Данные'!$A:$A,"&gt;="&amp;($K$7+12),'Данные'!$A:$A,"&lt;"&amp;($K$7+12)+1,'Данные'!$B:$B,$B$3))</f>
        <v/>
      </c>
      <c r="I71" s="33">
        <f>IF(($K$7+12)&gt;$L$7,"",IFERROR(B71/H71,""))</f>
        <v/>
      </c>
      <c r="J71" s="34">
        <f>IF(($K$7+12)&gt;$L$7,"",IFERROR(H71/E71,""))</f>
        <v/>
      </c>
    </row>
    <row r="72">
      <c r="A72" s="36">
        <f>IF(($K$7+13)&gt;$L$7,"",TEXT(($K$7+13),"DD.MM")&amp;" "&amp;CHOOSE(WEEKDAY(($K$7+13),2),"пн","вт","ср","чт","пт","сб","вс"))</f>
        <v/>
      </c>
      <c r="B72" s="37">
        <f>IF(($K$7+13)&gt;$L$7,"",SUMIFS('Данные'!$C:$C,'Данные'!$A:$A,"&gt;="&amp;($K$7+13),'Данные'!$A:$A,"&lt;"&amp;($K$7+13)+1,'Данные'!$B:$B,$B$3))</f>
        <v/>
      </c>
      <c r="C72" s="37">
        <f>IF(($K$7+13)&gt;$L$7,"",B72*(100+22)/100)</f>
        <v/>
      </c>
      <c r="D72" s="38">
        <f>IF(($K$7+13)&gt;$L$7,"",SUMIFS('Данные'!$D:$D,'Данные'!$A:$A,"&gt;="&amp;($K$7+13),'Данные'!$A:$A,"&lt;"&amp;($K$7+13)+1,'Данные'!$B:$B,$B$3))</f>
        <v/>
      </c>
      <c r="E72" s="38">
        <f>IF(($K$7+13)&gt;$L$7,"",SUMIFS('Данные'!$E:$E,'Данные'!$A:$A,"&gt;="&amp;($K$7+13),'Данные'!$A:$A,"&lt;"&amp;($K$7+13)+1,'Данные'!$B:$B,$B$3))</f>
        <v/>
      </c>
      <c r="F72" s="39">
        <f>IF(($K$7+13)&gt;$L$7,"",IFERROR(E72/D72,""))</f>
        <v/>
      </c>
      <c r="G72" s="40">
        <f>IF(($K$7+13)&gt;$L$7,"",IFERROR(B72/E72,""))</f>
        <v/>
      </c>
      <c r="H72" s="38">
        <f>IF(($K$7+13)&gt;$L$7,"",SUMIFS('Данные'!$F:$F,'Данные'!$A:$A,"&gt;="&amp;($K$7+13),'Данные'!$A:$A,"&lt;"&amp;($K$7+13)+1,'Данные'!$B:$B,$B$3))</f>
        <v/>
      </c>
      <c r="I72" s="40">
        <f>IF(($K$7+13)&gt;$L$7,"",IFERROR(B72/H72,""))</f>
        <v/>
      </c>
      <c r="J72" s="41">
        <f>IF(($K$7+13)&gt;$L$7,"",IFERROR(H72/E72,""))</f>
        <v/>
      </c>
    </row>
    <row r="73">
      <c r="A73" s="29">
        <f>IF(($K$7+14)&gt;$L$7,"",TEXT(($K$7+14),"DD.MM")&amp;" "&amp;CHOOSE(WEEKDAY(($K$7+14),2),"пн","вт","ср","чт","пт","сб","вс"))</f>
        <v/>
      </c>
      <c r="B73" s="30">
        <f>IF(($K$7+14)&gt;$L$7,"",SUMIFS('Данные'!$C:$C,'Данные'!$A:$A,"&gt;="&amp;($K$7+14),'Данные'!$A:$A,"&lt;"&amp;($K$7+14)+1,'Данные'!$B:$B,$B$3))</f>
        <v/>
      </c>
      <c r="C73" s="30">
        <f>IF(($K$7+14)&gt;$L$7,"",B73*(100+22)/100)</f>
        <v/>
      </c>
      <c r="D73" s="31">
        <f>IF(($K$7+14)&gt;$L$7,"",SUMIFS('Данные'!$D:$D,'Данные'!$A:$A,"&gt;="&amp;($K$7+14),'Данные'!$A:$A,"&lt;"&amp;($K$7+14)+1,'Данные'!$B:$B,$B$3))</f>
        <v/>
      </c>
      <c r="E73" s="31">
        <f>IF(($K$7+14)&gt;$L$7,"",SUMIFS('Данные'!$E:$E,'Данные'!$A:$A,"&gt;="&amp;($K$7+14),'Данные'!$A:$A,"&lt;"&amp;($K$7+14)+1,'Данные'!$B:$B,$B$3))</f>
        <v/>
      </c>
      <c r="F73" s="32">
        <f>IF(($K$7+14)&gt;$L$7,"",IFERROR(E73/D73,""))</f>
        <v/>
      </c>
      <c r="G73" s="33">
        <f>IF(($K$7+14)&gt;$L$7,"",IFERROR(B73/E73,""))</f>
        <v/>
      </c>
      <c r="H73" s="31">
        <f>IF(($K$7+14)&gt;$L$7,"",SUMIFS('Данные'!$F:$F,'Данные'!$A:$A,"&gt;="&amp;($K$7+14),'Данные'!$A:$A,"&lt;"&amp;($K$7+14)+1,'Данные'!$B:$B,$B$3))</f>
        <v/>
      </c>
      <c r="I73" s="33">
        <f>IF(($K$7+14)&gt;$L$7,"",IFERROR(B73/H73,""))</f>
        <v/>
      </c>
      <c r="J73" s="34">
        <f>IF(($K$7+14)&gt;$L$7,"",IFERROR(H73/E73,""))</f>
        <v/>
      </c>
    </row>
    <row r="74">
      <c r="A74" s="36">
        <f>IF(($K$7+15)&gt;$L$7,"",TEXT(($K$7+15),"DD.MM")&amp;" "&amp;CHOOSE(WEEKDAY(($K$7+15),2),"пн","вт","ср","чт","пт","сб","вс"))</f>
        <v/>
      </c>
      <c r="B74" s="37">
        <f>IF(($K$7+15)&gt;$L$7,"",SUMIFS('Данные'!$C:$C,'Данные'!$A:$A,"&gt;="&amp;($K$7+15),'Данные'!$A:$A,"&lt;"&amp;($K$7+15)+1,'Данные'!$B:$B,$B$3))</f>
        <v/>
      </c>
      <c r="C74" s="37">
        <f>IF(($K$7+15)&gt;$L$7,"",B74*(100+22)/100)</f>
        <v/>
      </c>
      <c r="D74" s="38">
        <f>IF(($K$7+15)&gt;$L$7,"",SUMIFS('Данные'!$D:$D,'Данные'!$A:$A,"&gt;="&amp;($K$7+15),'Данные'!$A:$A,"&lt;"&amp;($K$7+15)+1,'Данные'!$B:$B,$B$3))</f>
        <v/>
      </c>
      <c r="E74" s="38">
        <f>IF(($K$7+15)&gt;$L$7,"",SUMIFS('Данные'!$E:$E,'Данные'!$A:$A,"&gt;="&amp;($K$7+15),'Данные'!$A:$A,"&lt;"&amp;($K$7+15)+1,'Данные'!$B:$B,$B$3))</f>
        <v/>
      </c>
      <c r="F74" s="39">
        <f>IF(($K$7+15)&gt;$L$7,"",IFERROR(E74/D74,""))</f>
        <v/>
      </c>
      <c r="G74" s="40">
        <f>IF(($K$7+15)&gt;$L$7,"",IFERROR(B74/E74,""))</f>
        <v/>
      </c>
      <c r="H74" s="38">
        <f>IF(($K$7+15)&gt;$L$7,"",SUMIFS('Данные'!$F:$F,'Данные'!$A:$A,"&gt;="&amp;($K$7+15),'Данные'!$A:$A,"&lt;"&amp;($K$7+15)+1,'Данные'!$B:$B,$B$3))</f>
        <v/>
      </c>
      <c r="I74" s="40">
        <f>IF(($K$7+15)&gt;$L$7,"",IFERROR(B74/H74,""))</f>
        <v/>
      </c>
      <c r="J74" s="41">
        <f>IF(($K$7+15)&gt;$L$7,"",IFERROR(H74/E74,""))</f>
        <v/>
      </c>
    </row>
    <row r="75">
      <c r="A75" s="29">
        <f>IF(($K$7+16)&gt;$L$7,"",TEXT(($K$7+16),"DD.MM")&amp;" "&amp;CHOOSE(WEEKDAY(($K$7+16),2),"пн","вт","ср","чт","пт","сб","вс"))</f>
        <v/>
      </c>
      <c r="B75" s="30">
        <f>IF(($K$7+16)&gt;$L$7,"",SUMIFS('Данные'!$C:$C,'Данные'!$A:$A,"&gt;="&amp;($K$7+16),'Данные'!$A:$A,"&lt;"&amp;($K$7+16)+1,'Данные'!$B:$B,$B$3))</f>
        <v/>
      </c>
      <c r="C75" s="30">
        <f>IF(($K$7+16)&gt;$L$7,"",B75*(100+22)/100)</f>
        <v/>
      </c>
      <c r="D75" s="31">
        <f>IF(($K$7+16)&gt;$L$7,"",SUMIFS('Данные'!$D:$D,'Данные'!$A:$A,"&gt;="&amp;($K$7+16),'Данные'!$A:$A,"&lt;"&amp;($K$7+16)+1,'Данные'!$B:$B,$B$3))</f>
        <v/>
      </c>
      <c r="E75" s="31">
        <f>IF(($K$7+16)&gt;$L$7,"",SUMIFS('Данные'!$E:$E,'Данные'!$A:$A,"&gt;="&amp;($K$7+16),'Данные'!$A:$A,"&lt;"&amp;($K$7+16)+1,'Данные'!$B:$B,$B$3))</f>
        <v/>
      </c>
      <c r="F75" s="32">
        <f>IF(($K$7+16)&gt;$L$7,"",IFERROR(E75/D75,""))</f>
        <v/>
      </c>
      <c r="G75" s="33">
        <f>IF(($K$7+16)&gt;$L$7,"",IFERROR(B75/E75,""))</f>
        <v/>
      </c>
      <c r="H75" s="31">
        <f>IF(($K$7+16)&gt;$L$7,"",SUMIFS('Данные'!$F:$F,'Данные'!$A:$A,"&gt;="&amp;($K$7+16),'Данные'!$A:$A,"&lt;"&amp;($K$7+16)+1,'Данные'!$B:$B,$B$3))</f>
        <v/>
      </c>
      <c r="I75" s="33">
        <f>IF(($K$7+16)&gt;$L$7,"",IFERROR(B75/H75,""))</f>
        <v/>
      </c>
      <c r="J75" s="34">
        <f>IF(($K$7+16)&gt;$L$7,"",IFERROR(H75/E75,""))</f>
        <v/>
      </c>
    </row>
    <row r="76">
      <c r="A76" s="36">
        <f>IF(($K$7+17)&gt;$L$7,"",TEXT(($K$7+17),"DD.MM")&amp;" "&amp;CHOOSE(WEEKDAY(($K$7+17),2),"пн","вт","ср","чт","пт","сб","вс"))</f>
        <v/>
      </c>
      <c r="B76" s="37">
        <f>IF(($K$7+17)&gt;$L$7,"",SUMIFS('Данные'!$C:$C,'Данные'!$A:$A,"&gt;="&amp;($K$7+17),'Данные'!$A:$A,"&lt;"&amp;($K$7+17)+1,'Данные'!$B:$B,$B$3))</f>
        <v/>
      </c>
      <c r="C76" s="37">
        <f>IF(($K$7+17)&gt;$L$7,"",B76*(100+22)/100)</f>
        <v/>
      </c>
      <c r="D76" s="38">
        <f>IF(($K$7+17)&gt;$L$7,"",SUMIFS('Данные'!$D:$D,'Данные'!$A:$A,"&gt;="&amp;($K$7+17),'Данные'!$A:$A,"&lt;"&amp;($K$7+17)+1,'Данные'!$B:$B,$B$3))</f>
        <v/>
      </c>
      <c r="E76" s="38">
        <f>IF(($K$7+17)&gt;$L$7,"",SUMIFS('Данные'!$E:$E,'Данные'!$A:$A,"&gt;="&amp;($K$7+17),'Данные'!$A:$A,"&lt;"&amp;($K$7+17)+1,'Данные'!$B:$B,$B$3))</f>
        <v/>
      </c>
      <c r="F76" s="39">
        <f>IF(($K$7+17)&gt;$L$7,"",IFERROR(E76/D76,""))</f>
        <v/>
      </c>
      <c r="G76" s="40">
        <f>IF(($K$7+17)&gt;$L$7,"",IFERROR(B76/E76,""))</f>
        <v/>
      </c>
      <c r="H76" s="38">
        <f>IF(($K$7+17)&gt;$L$7,"",SUMIFS('Данные'!$F:$F,'Данные'!$A:$A,"&gt;="&amp;($K$7+17),'Данные'!$A:$A,"&lt;"&amp;($K$7+17)+1,'Данные'!$B:$B,$B$3))</f>
        <v/>
      </c>
      <c r="I76" s="40">
        <f>IF(($K$7+17)&gt;$L$7,"",IFERROR(B76/H76,""))</f>
        <v/>
      </c>
      <c r="J76" s="41">
        <f>IF(($K$7+17)&gt;$L$7,"",IFERROR(H76/E76,""))</f>
        <v/>
      </c>
    </row>
    <row r="77">
      <c r="A77" s="29">
        <f>IF(($K$7+18)&gt;$L$7,"",TEXT(($K$7+18),"DD.MM")&amp;" "&amp;CHOOSE(WEEKDAY(($K$7+18),2),"пн","вт","ср","чт","пт","сб","вс"))</f>
        <v/>
      </c>
      <c r="B77" s="30">
        <f>IF(($K$7+18)&gt;$L$7,"",SUMIFS('Данные'!$C:$C,'Данные'!$A:$A,"&gt;="&amp;($K$7+18),'Данные'!$A:$A,"&lt;"&amp;($K$7+18)+1,'Данные'!$B:$B,$B$3))</f>
        <v/>
      </c>
      <c r="C77" s="30">
        <f>IF(($K$7+18)&gt;$L$7,"",B77*(100+22)/100)</f>
        <v/>
      </c>
      <c r="D77" s="31">
        <f>IF(($K$7+18)&gt;$L$7,"",SUMIFS('Данные'!$D:$D,'Данные'!$A:$A,"&gt;="&amp;($K$7+18),'Данные'!$A:$A,"&lt;"&amp;($K$7+18)+1,'Данные'!$B:$B,$B$3))</f>
        <v/>
      </c>
      <c r="E77" s="31">
        <f>IF(($K$7+18)&gt;$L$7,"",SUMIFS('Данные'!$E:$E,'Данные'!$A:$A,"&gt;="&amp;($K$7+18),'Данные'!$A:$A,"&lt;"&amp;($K$7+18)+1,'Данные'!$B:$B,$B$3))</f>
        <v/>
      </c>
      <c r="F77" s="32">
        <f>IF(($K$7+18)&gt;$L$7,"",IFERROR(E77/D77,""))</f>
        <v/>
      </c>
      <c r="G77" s="33">
        <f>IF(($K$7+18)&gt;$L$7,"",IFERROR(B77/E77,""))</f>
        <v/>
      </c>
      <c r="H77" s="31">
        <f>IF(($K$7+18)&gt;$L$7,"",SUMIFS('Данные'!$F:$F,'Данные'!$A:$A,"&gt;="&amp;($K$7+18),'Данные'!$A:$A,"&lt;"&amp;($K$7+18)+1,'Данные'!$B:$B,$B$3))</f>
        <v/>
      </c>
      <c r="I77" s="33">
        <f>IF(($K$7+18)&gt;$L$7,"",IFERROR(B77/H77,""))</f>
        <v/>
      </c>
      <c r="J77" s="34">
        <f>IF(($K$7+18)&gt;$L$7,"",IFERROR(H77/E77,""))</f>
        <v/>
      </c>
    </row>
    <row r="78">
      <c r="A78" s="36">
        <f>IF(($K$7+19)&gt;$L$7,"",TEXT(($K$7+19),"DD.MM")&amp;" "&amp;CHOOSE(WEEKDAY(($K$7+19),2),"пн","вт","ср","чт","пт","сб","вс"))</f>
        <v/>
      </c>
      <c r="B78" s="37">
        <f>IF(($K$7+19)&gt;$L$7,"",SUMIFS('Данные'!$C:$C,'Данные'!$A:$A,"&gt;="&amp;($K$7+19),'Данные'!$A:$A,"&lt;"&amp;($K$7+19)+1,'Данные'!$B:$B,$B$3))</f>
        <v/>
      </c>
      <c r="C78" s="37">
        <f>IF(($K$7+19)&gt;$L$7,"",B78*(100+22)/100)</f>
        <v/>
      </c>
      <c r="D78" s="38">
        <f>IF(($K$7+19)&gt;$L$7,"",SUMIFS('Данные'!$D:$D,'Данные'!$A:$A,"&gt;="&amp;($K$7+19),'Данные'!$A:$A,"&lt;"&amp;($K$7+19)+1,'Данные'!$B:$B,$B$3))</f>
        <v/>
      </c>
      <c r="E78" s="38">
        <f>IF(($K$7+19)&gt;$L$7,"",SUMIFS('Данные'!$E:$E,'Данные'!$A:$A,"&gt;="&amp;($K$7+19),'Данные'!$A:$A,"&lt;"&amp;($K$7+19)+1,'Данные'!$B:$B,$B$3))</f>
        <v/>
      </c>
      <c r="F78" s="39">
        <f>IF(($K$7+19)&gt;$L$7,"",IFERROR(E78/D78,""))</f>
        <v/>
      </c>
      <c r="G78" s="40">
        <f>IF(($K$7+19)&gt;$L$7,"",IFERROR(B78/E78,""))</f>
        <v/>
      </c>
      <c r="H78" s="38">
        <f>IF(($K$7+19)&gt;$L$7,"",SUMIFS('Данные'!$F:$F,'Данные'!$A:$A,"&gt;="&amp;($K$7+19),'Данные'!$A:$A,"&lt;"&amp;($K$7+19)+1,'Данные'!$B:$B,$B$3))</f>
        <v/>
      </c>
      <c r="I78" s="40">
        <f>IF(($K$7+19)&gt;$L$7,"",IFERROR(B78/H78,""))</f>
        <v/>
      </c>
      <c r="J78" s="41">
        <f>IF(($K$7+19)&gt;$L$7,"",IFERROR(H78/E78,""))</f>
        <v/>
      </c>
    </row>
    <row r="79">
      <c r="A79" s="29">
        <f>IF(($K$7+20)&gt;$L$7,"",TEXT(($K$7+20),"DD.MM")&amp;" "&amp;CHOOSE(WEEKDAY(($K$7+20),2),"пн","вт","ср","чт","пт","сб","вс"))</f>
        <v/>
      </c>
      <c r="B79" s="30">
        <f>IF(($K$7+20)&gt;$L$7,"",SUMIFS('Данные'!$C:$C,'Данные'!$A:$A,"&gt;="&amp;($K$7+20),'Данные'!$A:$A,"&lt;"&amp;($K$7+20)+1,'Данные'!$B:$B,$B$3))</f>
        <v/>
      </c>
      <c r="C79" s="30">
        <f>IF(($K$7+20)&gt;$L$7,"",B79*(100+22)/100)</f>
        <v/>
      </c>
      <c r="D79" s="31">
        <f>IF(($K$7+20)&gt;$L$7,"",SUMIFS('Данные'!$D:$D,'Данные'!$A:$A,"&gt;="&amp;($K$7+20),'Данные'!$A:$A,"&lt;"&amp;($K$7+20)+1,'Данные'!$B:$B,$B$3))</f>
        <v/>
      </c>
      <c r="E79" s="31">
        <f>IF(($K$7+20)&gt;$L$7,"",SUMIFS('Данные'!$E:$E,'Данные'!$A:$A,"&gt;="&amp;($K$7+20),'Данные'!$A:$A,"&lt;"&amp;($K$7+20)+1,'Данные'!$B:$B,$B$3))</f>
        <v/>
      </c>
      <c r="F79" s="32">
        <f>IF(($K$7+20)&gt;$L$7,"",IFERROR(E79/D79,""))</f>
        <v/>
      </c>
      <c r="G79" s="33">
        <f>IF(($K$7+20)&gt;$L$7,"",IFERROR(B79/E79,""))</f>
        <v/>
      </c>
      <c r="H79" s="31">
        <f>IF(($K$7+20)&gt;$L$7,"",SUMIFS('Данные'!$F:$F,'Данные'!$A:$A,"&gt;="&amp;($K$7+20),'Данные'!$A:$A,"&lt;"&amp;($K$7+20)+1,'Данные'!$B:$B,$B$3))</f>
        <v/>
      </c>
      <c r="I79" s="33">
        <f>IF(($K$7+20)&gt;$L$7,"",IFERROR(B79/H79,""))</f>
        <v/>
      </c>
      <c r="J79" s="34">
        <f>IF(($K$7+20)&gt;$L$7,"",IFERROR(H79/E79,""))</f>
        <v/>
      </c>
    </row>
    <row r="80">
      <c r="A80" s="36">
        <f>IF(($K$7+21)&gt;$L$7,"",TEXT(($K$7+21),"DD.MM")&amp;" "&amp;CHOOSE(WEEKDAY(($K$7+21),2),"пн","вт","ср","чт","пт","сб","вс"))</f>
        <v/>
      </c>
      <c r="B80" s="37">
        <f>IF(($K$7+21)&gt;$L$7,"",SUMIFS('Данные'!$C:$C,'Данные'!$A:$A,"&gt;="&amp;($K$7+21),'Данные'!$A:$A,"&lt;"&amp;($K$7+21)+1,'Данные'!$B:$B,$B$3))</f>
        <v/>
      </c>
      <c r="C80" s="37">
        <f>IF(($K$7+21)&gt;$L$7,"",B80*(100+22)/100)</f>
        <v/>
      </c>
      <c r="D80" s="38">
        <f>IF(($K$7+21)&gt;$L$7,"",SUMIFS('Данные'!$D:$D,'Данные'!$A:$A,"&gt;="&amp;($K$7+21),'Данные'!$A:$A,"&lt;"&amp;($K$7+21)+1,'Данные'!$B:$B,$B$3))</f>
        <v/>
      </c>
      <c r="E80" s="38">
        <f>IF(($K$7+21)&gt;$L$7,"",SUMIFS('Данные'!$E:$E,'Данные'!$A:$A,"&gt;="&amp;($K$7+21),'Данные'!$A:$A,"&lt;"&amp;($K$7+21)+1,'Данные'!$B:$B,$B$3))</f>
        <v/>
      </c>
      <c r="F80" s="39">
        <f>IF(($K$7+21)&gt;$L$7,"",IFERROR(E80/D80,""))</f>
        <v/>
      </c>
      <c r="G80" s="40">
        <f>IF(($K$7+21)&gt;$L$7,"",IFERROR(B80/E80,""))</f>
        <v/>
      </c>
      <c r="H80" s="38">
        <f>IF(($K$7+21)&gt;$L$7,"",SUMIFS('Данные'!$F:$F,'Данные'!$A:$A,"&gt;="&amp;($K$7+21),'Данные'!$A:$A,"&lt;"&amp;($K$7+21)+1,'Данные'!$B:$B,$B$3))</f>
        <v/>
      </c>
      <c r="I80" s="40">
        <f>IF(($K$7+21)&gt;$L$7,"",IFERROR(B80/H80,""))</f>
        <v/>
      </c>
      <c r="J80" s="41">
        <f>IF(($K$7+21)&gt;$L$7,"",IFERROR(H80/E80,""))</f>
        <v/>
      </c>
    </row>
    <row r="81">
      <c r="A81" s="29">
        <f>IF(($K$7+22)&gt;$L$7,"",TEXT(($K$7+22),"DD.MM")&amp;" "&amp;CHOOSE(WEEKDAY(($K$7+22),2),"пн","вт","ср","чт","пт","сб","вс"))</f>
        <v/>
      </c>
      <c r="B81" s="30">
        <f>IF(($K$7+22)&gt;$L$7,"",SUMIFS('Данные'!$C:$C,'Данные'!$A:$A,"&gt;="&amp;($K$7+22),'Данные'!$A:$A,"&lt;"&amp;($K$7+22)+1,'Данные'!$B:$B,$B$3))</f>
        <v/>
      </c>
      <c r="C81" s="30">
        <f>IF(($K$7+22)&gt;$L$7,"",B81*(100+22)/100)</f>
        <v/>
      </c>
      <c r="D81" s="31">
        <f>IF(($K$7+22)&gt;$L$7,"",SUMIFS('Данные'!$D:$D,'Данные'!$A:$A,"&gt;="&amp;($K$7+22),'Данные'!$A:$A,"&lt;"&amp;($K$7+22)+1,'Данные'!$B:$B,$B$3))</f>
        <v/>
      </c>
      <c r="E81" s="31">
        <f>IF(($K$7+22)&gt;$L$7,"",SUMIFS('Данные'!$E:$E,'Данные'!$A:$A,"&gt;="&amp;($K$7+22),'Данные'!$A:$A,"&lt;"&amp;($K$7+22)+1,'Данные'!$B:$B,$B$3))</f>
        <v/>
      </c>
      <c r="F81" s="32">
        <f>IF(($K$7+22)&gt;$L$7,"",IFERROR(E81/D81,""))</f>
        <v/>
      </c>
      <c r="G81" s="33">
        <f>IF(($K$7+22)&gt;$L$7,"",IFERROR(B81/E81,""))</f>
        <v/>
      </c>
      <c r="H81" s="31">
        <f>IF(($K$7+22)&gt;$L$7,"",SUMIFS('Данные'!$F:$F,'Данные'!$A:$A,"&gt;="&amp;($K$7+22),'Данные'!$A:$A,"&lt;"&amp;($K$7+22)+1,'Данные'!$B:$B,$B$3))</f>
        <v/>
      </c>
      <c r="I81" s="33">
        <f>IF(($K$7+22)&gt;$L$7,"",IFERROR(B81/H81,""))</f>
        <v/>
      </c>
      <c r="J81" s="34">
        <f>IF(($K$7+22)&gt;$L$7,"",IFERROR(H81/E81,""))</f>
        <v/>
      </c>
    </row>
    <row r="82">
      <c r="A82" s="36">
        <f>IF(($K$7+23)&gt;$L$7,"",TEXT(($K$7+23),"DD.MM")&amp;" "&amp;CHOOSE(WEEKDAY(($K$7+23),2),"пн","вт","ср","чт","пт","сб","вс"))</f>
        <v/>
      </c>
      <c r="B82" s="37">
        <f>IF(($K$7+23)&gt;$L$7,"",SUMIFS('Данные'!$C:$C,'Данные'!$A:$A,"&gt;="&amp;($K$7+23),'Данные'!$A:$A,"&lt;"&amp;($K$7+23)+1,'Данные'!$B:$B,$B$3))</f>
        <v/>
      </c>
      <c r="C82" s="37">
        <f>IF(($K$7+23)&gt;$L$7,"",B82*(100+22)/100)</f>
        <v/>
      </c>
      <c r="D82" s="38">
        <f>IF(($K$7+23)&gt;$L$7,"",SUMIFS('Данные'!$D:$D,'Данные'!$A:$A,"&gt;="&amp;($K$7+23),'Данные'!$A:$A,"&lt;"&amp;($K$7+23)+1,'Данные'!$B:$B,$B$3))</f>
        <v/>
      </c>
      <c r="E82" s="38">
        <f>IF(($K$7+23)&gt;$L$7,"",SUMIFS('Данные'!$E:$E,'Данные'!$A:$A,"&gt;="&amp;($K$7+23),'Данные'!$A:$A,"&lt;"&amp;($K$7+23)+1,'Данные'!$B:$B,$B$3))</f>
        <v/>
      </c>
      <c r="F82" s="39">
        <f>IF(($K$7+23)&gt;$L$7,"",IFERROR(E82/D82,""))</f>
        <v/>
      </c>
      <c r="G82" s="40">
        <f>IF(($K$7+23)&gt;$L$7,"",IFERROR(B82/E82,""))</f>
        <v/>
      </c>
      <c r="H82" s="38">
        <f>IF(($K$7+23)&gt;$L$7,"",SUMIFS('Данные'!$F:$F,'Данные'!$A:$A,"&gt;="&amp;($K$7+23),'Данные'!$A:$A,"&lt;"&amp;($K$7+23)+1,'Данные'!$B:$B,$B$3))</f>
        <v/>
      </c>
      <c r="I82" s="40">
        <f>IF(($K$7+23)&gt;$L$7,"",IFERROR(B82/H82,""))</f>
        <v/>
      </c>
      <c r="J82" s="41">
        <f>IF(($K$7+23)&gt;$L$7,"",IFERROR(H82/E82,""))</f>
        <v/>
      </c>
    </row>
    <row r="83">
      <c r="A83" s="29">
        <f>IF(($K$7+24)&gt;$L$7,"",TEXT(($K$7+24),"DD.MM")&amp;" "&amp;CHOOSE(WEEKDAY(($K$7+24),2),"пн","вт","ср","чт","пт","сб","вс"))</f>
        <v/>
      </c>
      <c r="B83" s="30">
        <f>IF(($K$7+24)&gt;$L$7,"",SUMIFS('Данные'!$C:$C,'Данные'!$A:$A,"&gt;="&amp;($K$7+24),'Данные'!$A:$A,"&lt;"&amp;($K$7+24)+1,'Данные'!$B:$B,$B$3))</f>
        <v/>
      </c>
      <c r="C83" s="30">
        <f>IF(($K$7+24)&gt;$L$7,"",B83*(100+22)/100)</f>
        <v/>
      </c>
      <c r="D83" s="31">
        <f>IF(($K$7+24)&gt;$L$7,"",SUMIFS('Данные'!$D:$D,'Данные'!$A:$A,"&gt;="&amp;($K$7+24),'Данные'!$A:$A,"&lt;"&amp;($K$7+24)+1,'Данные'!$B:$B,$B$3))</f>
        <v/>
      </c>
      <c r="E83" s="31">
        <f>IF(($K$7+24)&gt;$L$7,"",SUMIFS('Данные'!$E:$E,'Данные'!$A:$A,"&gt;="&amp;($K$7+24),'Данные'!$A:$A,"&lt;"&amp;($K$7+24)+1,'Данные'!$B:$B,$B$3))</f>
        <v/>
      </c>
      <c r="F83" s="32">
        <f>IF(($K$7+24)&gt;$L$7,"",IFERROR(E83/D83,""))</f>
        <v/>
      </c>
      <c r="G83" s="33">
        <f>IF(($K$7+24)&gt;$L$7,"",IFERROR(B83/E83,""))</f>
        <v/>
      </c>
      <c r="H83" s="31">
        <f>IF(($K$7+24)&gt;$L$7,"",SUMIFS('Данные'!$F:$F,'Данные'!$A:$A,"&gt;="&amp;($K$7+24),'Данные'!$A:$A,"&lt;"&amp;($K$7+24)+1,'Данные'!$B:$B,$B$3))</f>
        <v/>
      </c>
      <c r="I83" s="33">
        <f>IF(($K$7+24)&gt;$L$7,"",IFERROR(B83/H83,""))</f>
        <v/>
      </c>
      <c r="J83" s="34">
        <f>IF(($K$7+24)&gt;$L$7,"",IFERROR(H83/E83,""))</f>
        <v/>
      </c>
    </row>
    <row r="84">
      <c r="A84" s="36">
        <f>IF(($K$7+25)&gt;$L$7,"",TEXT(($K$7+25),"DD.MM")&amp;" "&amp;CHOOSE(WEEKDAY(($K$7+25),2),"пн","вт","ср","чт","пт","сб","вс"))</f>
        <v/>
      </c>
      <c r="B84" s="37">
        <f>IF(($K$7+25)&gt;$L$7,"",SUMIFS('Данные'!$C:$C,'Данные'!$A:$A,"&gt;="&amp;($K$7+25),'Данные'!$A:$A,"&lt;"&amp;($K$7+25)+1,'Данные'!$B:$B,$B$3))</f>
        <v/>
      </c>
      <c r="C84" s="37">
        <f>IF(($K$7+25)&gt;$L$7,"",B84*(100+22)/100)</f>
        <v/>
      </c>
      <c r="D84" s="38">
        <f>IF(($K$7+25)&gt;$L$7,"",SUMIFS('Данные'!$D:$D,'Данные'!$A:$A,"&gt;="&amp;($K$7+25),'Данные'!$A:$A,"&lt;"&amp;($K$7+25)+1,'Данные'!$B:$B,$B$3))</f>
        <v/>
      </c>
      <c r="E84" s="38">
        <f>IF(($K$7+25)&gt;$L$7,"",SUMIFS('Данные'!$E:$E,'Данные'!$A:$A,"&gt;="&amp;($K$7+25),'Данные'!$A:$A,"&lt;"&amp;($K$7+25)+1,'Данные'!$B:$B,$B$3))</f>
        <v/>
      </c>
      <c r="F84" s="39">
        <f>IF(($K$7+25)&gt;$L$7,"",IFERROR(E84/D84,""))</f>
        <v/>
      </c>
      <c r="G84" s="40">
        <f>IF(($K$7+25)&gt;$L$7,"",IFERROR(B84/E84,""))</f>
        <v/>
      </c>
      <c r="H84" s="38">
        <f>IF(($K$7+25)&gt;$L$7,"",SUMIFS('Данные'!$F:$F,'Данные'!$A:$A,"&gt;="&amp;($K$7+25),'Данные'!$A:$A,"&lt;"&amp;($K$7+25)+1,'Данные'!$B:$B,$B$3))</f>
        <v/>
      </c>
      <c r="I84" s="40">
        <f>IF(($K$7+25)&gt;$L$7,"",IFERROR(B84/H84,""))</f>
        <v/>
      </c>
      <c r="J84" s="41">
        <f>IF(($K$7+25)&gt;$L$7,"",IFERROR(H84/E84,""))</f>
        <v/>
      </c>
    </row>
    <row r="85">
      <c r="A85" s="29">
        <f>IF(($K$7+26)&gt;$L$7,"",TEXT(($K$7+26),"DD.MM")&amp;" "&amp;CHOOSE(WEEKDAY(($K$7+26),2),"пн","вт","ср","чт","пт","сб","вс"))</f>
        <v/>
      </c>
      <c r="B85" s="30">
        <f>IF(($K$7+26)&gt;$L$7,"",SUMIFS('Данные'!$C:$C,'Данные'!$A:$A,"&gt;="&amp;($K$7+26),'Данные'!$A:$A,"&lt;"&amp;($K$7+26)+1,'Данные'!$B:$B,$B$3))</f>
        <v/>
      </c>
      <c r="C85" s="30">
        <f>IF(($K$7+26)&gt;$L$7,"",B85*(100+22)/100)</f>
        <v/>
      </c>
      <c r="D85" s="31">
        <f>IF(($K$7+26)&gt;$L$7,"",SUMIFS('Данные'!$D:$D,'Данные'!$A:$A,"&gt;="&amp;($K$7+26),'Данные'!$A:$A,"&lt;"&amp;($K$7+26)+1,'Данные'!$B:$B,$B$3))</f>
        <v/>
      </c>
      <c r="E85" s="31">
        <f>IF(($K$7+26)&gt;$L$7,"",SUMIFS('Данные'!$E:$E,'Данные'!$A:$A,"&gt;="&amp;($K$7+26),'Данные'!$A:$A,"&lt;"&amp;($K$7+26)+1,'Данные'!$B:$B,$B$3))</f>
        <v/>
      </c>
      <c r="F85" s="32">
        <f>IF(($K$7+26)&gt;$L$7,"",IFERROR(E85/D85,""))</f>
        <v/>
      </c>
      <c r="G85" s="33">
        <f>IF(($K$7+26)&gt;$L$7,"",IFERROR(B85/E85,""))</f>
        <v/>
      </c>
      <c r="H85" s="31">
        <f>IF(($K$7+26)&gt;$L$7,"",SUMIFS('Данные'!$F:$F,'Данные'!$A:$A,"&gt;="&amp;($K$7+26),'Данные'!$A:$A,"&lt;"&amp;($K$7+26)+1,'Данные'!$B:$B,$B$3))</f>
        <v/>
      </c>
      <c r="I85" s="33">
        <f>IF(($K$7+26)&gt;$L$7,"",IFERROR(B85/H85,""))</f>
        <v/>
      </c>
      <c r="J85" s="34">
        <f>IF(($K$7+26)&gt;$L$7,"",IFERROR(H85/E85,""))</f>
        <v/>
      </c>
    </row>
    <row r="86">
      <c r="A86" s="36">
        <f>IF(($K$7+27)&gt;$L$7,"",TEXT(($K$7+27),"DD.MM")&amp;" "&amp;CHOOSE(WEEKDAY(($K$7+27),2),"пн","вт","ср","чт","пт","сб","вс"))</f>
        <v/>
      </c>
      <c r="B86" s="37">
        <f>IF(($K$7+27)&gt;$L$7,"",SUMIFS('Данные'!$C:$C,'Данные'!$A:$A,"&gt;="&amp;($K$7+27),'Данные'!$A:$A,"&lt;"&amp;($K$7+27)+1,'Данные'!$B:$B,$B$3))</f>
        <v/>
      </c>
      <c r="C86" s="37">
        <f>IF(($K$7+27)&gt;$L$7,"",B86*(100+22)/100)</f>
        <v/>
      </c>
      <c r="D86" s="38">
        <f>IF(($K$7+27)&gt;$L$7,"",SUMIFS('Данные'!$D:$D,'Данные'!$A:$A,"&gt;="&amp;($K$7+27),'Данные'!$A:$A,"&lt;"&amp;($K$7+27)+1,'Данные'!$B:$B,$B$3))</f>
        <v/>
      </c>
      <c r="E86" s="38">
        <f>IF(($K$7+27)&gt;$L$7,"",SUMIFS('Данные'!$E:$E,'Данные'!$A:$A,"&gt;="&amp;($K$7+27),'Данные'!$A:$A,"&lt;"&amp;($K$7+27)+1,'Данные'!$B:$B,$B$3))</f>
        <v/>
      </c>
      <c r="F86" s="39">
        <f>IF(($K$7+27)&gt;$L$7,"",IFERROR(E86/D86,""))</f>
        <v/>
      </c>
      <c r="G86" s="40">
        <f>IF(($K$7+27)&gt;$L$7,"",IFERROR(B86/E86,""))</f>
        <v/>
      </c>
      <c r="H86" s="38">
        <f>IF(($K$7+27)&gt;$L$7,"",SUMIFS('Данные'!$F:$F,'Данные'!$A:$A,"&gt;="&amp;($K$7+27),'Данные'!$A:$A,"&lt;"&amp;($K$7+27)+1,'Данные'!$B:$B,$B$3))</f>
        <v/>
      </c>
      <c r="I86" s="40">
        <f>IF(($K$7+27)&gt;$L$7,"",IFERROR(B86/H86,""))</f>
        <v/>
      </c>
      <c r="J86" s="41">
        <f>IF(($K$7+27)&gt;$L$7,"",IFERROR(H86/E86,""))</f>
        <v/>
      </c>
    </row>
    <row r="87">
      <c r="A87" s="29">
        <f>IF(($K$7+28)&gt;$L$7,"",TEXT(($K$7+28),"DD.MM")&amp;" "&amp;CHOOSE(WEEKDAY(($K$7+28),2),"пн","вт","ср","чт","пт","сб","вс"))</f>
        <v/>
      </c>
      <c r="B87" s="30">
        <f>IF(($K$7+28)&gt;$L$7,"",SUMIFS('Данные'!$C:$C,'Данные'!$A:$A,"&gt;="&amp;($K$7+28),'Данные'!$A:$A,"&lt;"&amp;($K$7+28)+1,'Данные'!$B:$B,$B$3))</f>
        <v/>
      </c>
      <c r="C87" s="30">
        <f>IF(($K$7+28)&gt;$L$7,"",B87*(100+22)/100)</f>
        <v/>
      </c>
      <c r="D87" s="31">
        <f>IF(($K$7+28)&gt;$L$7,"",SUMIFS('Данные'!$D:$D,'Данные'!$A:$A,"&gt;="&amp;($K$7+28),'Данные'!$A:$A,"&lt;"&amp;($K$7+28)+1,'Данные'!$B:$B,$B$3))</f>
        <v/>
      </c>
      <c r="E87" s="31">
        <f>IF(($K$7+28)&gt;$L$7,"",SUMIFS('Данные'!$E:$E,'Данные'!$A:$A,"&gt;="&amp;($K$7+28),'Данные'!$A:$A,"&lt;"&amp;($K$7+28)+1,'Данные'!$B:$B,$B$3))</f>
        <v/>
      </c>
      <c r="F87" s="32">
        <f>IF(($K$7+28)&gt;$L$7,"",IFERROR(E87/D87,""))</f>
        <v/>
      </c>
      <c r="G87" s="33">
        <f>IF(($K$7+28)&gt;$L$7,"",IFERROR(B87/E87,""))</f>
        <v/>
      </c>
      <c r="H87" s="31">
        <f>IF(($K$7+28)&gt;$L$7,"",SUMIFS('Данные'!$F:$F,'Данные'!$A:$A,"&gt;="&amp;($K$7+28),'Данные'!$A:$A,"&lt;"&amp;($K$7+28)+1,'Данные'!$B:$B,$B$3))</f>
        <v/>
      </c>
      <c r="I87" s="33">
        <f>IF(($K$7+28)&gt;$L$7,"",IFERROR(B87/H87,""))</f>
        <v/>
      </c>
      <c r="J87" s="34">
        <f>IF(($K$7+28)&gt;$L$7,"",IFERROR(H87/E87,""))</f>
        <v/>
      </c>
    </row>
    <row r="88">
      <c r="A88" s="36">
        <f>IF(($K$7+29)&gt;$L$7,"",TEXT(($K$7+29),"DD.MM")&amp;" "&amp;CHOOSE(WEEKDAY(($K$7+29),2),"пн","вт","ср","чт","пт","сб","вс"))</f>
        <v/>
      </c>
      <c r="B88" s="37">
        <f>IF(($K$7+29)&gt;$L$7,"",SUMIFS('Данные'!$C:$C,'Данные'!$A:$A,"&gt;="&amp;($K$7+29),'Данные'!$A:$A,"&lt;"&amp;($K$7+29)+1,'Данные'!$B:$B,$B$3))</f>
        <v/>
      </c>
      <c r="C88" s="37">
        <f>IF(($K$7+29)&gt;$L$7,"",B88*(100+22)/100)</f>
        <v/>
      </c>
      <c r="D88" s="38">
        <f>IF(($K$7+29)&gt;$L$7,"",SUMIFS('Данные'!$D:$D,'Данные'!$A:$A,"&gt;="&amp;($K$7+29),'Данные'!$A:$A,"&lt;"&amp;($K$7+29)+1,'Данные'!$B:$B,$B$3))</f>
        <v/>
      </c>
      <c r="E88" s="38">
        <f>IF(($K$7+29)&gt;$L$7,"",SUMIFS('Данные'!$E:$E,'Данные'!$A:$A,"&gt;="&amp;($K$7+29),'Данные'!$A:$A,"&lt;"&amp;($K$7+29)+1,'Данные'!$B:$B,$B$3))</f>
        <v/>
      </c>
      <c r="F88" s="39">
        <f>IF(($K$7+29)&gt;$L$7,"",IFERROR(E88/D88,""))</f>
        <v/>
      </c>
      <c r="G88" s="40">
        <f>IF(($K$7+29)&gt;$L$7,"",IFERROR(B88/E88,""))</f>
        <v/>
      </c>
      <c r="H88" s="38">
        <f>IF(($K$7+29)&gt;$L$7,"",SUMIFS('Данные'!$F:$F,'Данные'!$A:$A,"&gt;="&amp;($K$7+29),'Данные'!$A:$A,"&lt;"&amp;($K$7+29)+1,'Данные'!$B:$B,$B$3))</f>
        <v/>
      </c>
      <c r="I88" s="40">
        <f>IF(($K$7+29)&gt;$L$7,"",IFERROR(B88/H88,""))</f>
        <v/>
      </c>
      <c r="J88" s="41">
        <f>IF(($K$7+29)&gt;$L$7,"",IFERROR(H88/E88,""))</f>
        <v/>
      </c>
    </row>
    <row r="89">
      <c r="A89" s="29">
        <f>IF(($K$7+30)&gt;$L$7,"",TEXT(($K$7+30),"DD.MM")&amp;" "&amp;CHOOSE(WEEKDAY(($K$7+30),2),"пн","вт","ср","чт","пт","сб","вс"))</f>
        <v/>
      </c>
      <c r="B89" s="30">
        <f>IF(($K$7+30)&gt;$L$7,"",SUMIFS('Данные'!$C:$C,'Данные'!$A:$A,"&gt;="&amp;($K$7+30),'Данные'!$A:$A,"&lt;"&amp;($K$7+30)+1,'Данные'!$B:$B,$B$3))</f>
        <v/>
      </c>
      <c r="C89" s="30">
        <f>IF(($K$7+30)&gt;$L$7,"",B89*(100+22)/100)</f>
        <v/>
      </c>
      <c r="D89" s="31">
        <f>IF(($K$7+30)&gt;$L$7,"",SUMIFS('Данные'!$D:$D,'Данные'!$A:$A,"&gt;="&amp;($K$7+30),'Данные'!$A:$A,"&lt;"&amp;($K$7+30)+1,'Данные'!$B:$B,$B$3))</f>
        <v/>
      </c>
      <c r="E89" s="31">
        <f>IF(($K$7+30)&gt;$L$7,"",SUMIFS('Данные'!$E:$E,'Данные'!$A:$A,"&gt;="&amp;($K$7+30),'Данные'!$A:$A,"&lt;"&amp;($K$7+30)+1,'Данные'!$B:$B,$B$3))</f>
        <v/>
      </c>
      <c r="F89" s="32">
        <f>IF(($K$7+30)&gt;$L$7,"",IFERROR(E89/D89,""))</f>
        <v/>
      </c>
      <c r="G89" s="33">
        <f>IF(($K$7+30)&gt;$L$7,"",IFERROR(B89/E89,""))</f>
        <v/>
      </c>
      <c r="H89" s="31">
        <f>IF(($K$7+30)&gt;$L$7,"",SUMIFS('Данные'!$F:$F,'Данные'!$A:$A,"&gt;="&amp;($K$7+30),'Данные'!$A:$A,"&lt;"&amp;($K$7+30)+1,'Данные'!$B:$B,$B$3))</f>
        <v/>
      </c>
      <c r="I89" s="33">
        <f>IF(($K$7+30)&gt;$L$7,"",IFERROR(B89/H89,""))</f>
        <v/>
      </c>
      <c r="J89" s="34">
        <f>IF(($K$7+30)&gt;$L$7,"",IFERROR(H89/E89,""))</f>
        <v/>
      </c>
    </row>
    <row r="90">
      <c r="A90" s="36">
        <f>IF(($K$7+31)&gt;$L$7,"",TEXT(($K$7+31),"DD.MM")&amp;" "&amp;CHOOSE(WEEKDAY(($K$7+31),2),"пн","вт","ср","чт","пт","сб","вс"))</f>
        <v/>
      </c>
      <c r="B90" s="37">
        <f>IF(($K$7+31)&gt;$L$7,"",SUMIFS('Данные'!$C:$C,'Данные'!$A:$A,"&gt;="&amp;($K$7+31),'Данные'!$A:$A,"&lt;"&amp;($K$7+31)+1,'Данные'!$B:$B,$B$3))</f>
        <v/>
      </c>
      <c r="C90" s="37">
        <f>IF(($K$7+31)&gt;$L$7,"",B90*(100+22)/100)</f>
        <v/>
      </c>
      <c r="D90" s="38">
        <f>IF(($K$7+31)&gt;$L$7,"",SUMIFS('Данные'!$D:$D,'Данные'!$A:$A,"&gt;="&amp;($K$7+31),'Данные'!$A:$A,"&lt;"&amp;($K$7+31)+1,'Данные'!$B:$B,$B$3))</f>
        <v/>
      </c>
      <c r="E90" s="38">
        <f>IF(($K$7+31)&gt;$L$7,"",SUMIFS('Данные'!$E:$E,'Данные'!$A:$A,"&gt;="&amp;($K$7+31),'Данные'!$A:$A,"&lt;"&amp;($K$7+31)+1,'Данные'!$B:$B,$B$3))</f>
        <v/>
      </c>
      <c r="F90" s="39">
        <f>IF(($K$7+31)&gt;$L$7,"",IFERROR(E90/D90,""))</f>
        <v/>
      </c>
      <c r="G90" s="40">
        <f>IF(($K$7+31)&gt;$L$7,"",IFERROR(B90/E90,""))</f>
        <v/>
      </c>
      <c r="H90" s="38">
        <f>IF(($K$7+31)&gt;$L$7,"",SUMIFS('Данные'!$F:$F,'Данные'!$A:$A,"&gt;="&amp;($K$7+31),'Данные'!$A:$A,"&lt;"&amp;($K$7+31)+1,'Данные'!$B:$B,$B$3))</f>
        <v/>
      </c>
      <c r="I90" s="40">
        <f>IF(($K$7+31)&gt;$L$7,"",IFERROR(B90/H90,""))</f>
        <v/>
      </c>
      <c r="J90" s="41">
        <f>IF(($K$7+31)&gt;$L$7,"",IFERROR(H90/E90,""))</f>
        <v/>
      </c>
    </row>
    <row r="91">
      <c r="A91" s="29">
        <f>IF(($K$7+32)&gt;$L$7,"",TEXT(($K$7+32),"DD.MM")&amp;" "&amp;CHOOSE(WEEKDAY(($K$7+32),2),"пн","вт","ср","чт","пт","сб","вс"))</f>
        <v/>
      </c>
      <c r="B91" s="30">
        <f>IF(($K$7+32)&gt;$L$7,"",SUMIFS('Данные'!$C:$C,'Данные'!$A:$A,"&gt;="&amp;($K$7+32),'Данные'!$A:$A,"&lt;"&amp;($K$7+32)+1,'Данные'!$B:$B,$B$3))</f>
        <v/>
      </c>
      <c r="C91" s="30">
        <f>IF(($K$7+32)&gt;$L$7,"",B91*(100+22)/100)</f>
        <v/>
      </c>
      <c r="D91" s="31">
        <f>IF(($K$7+32)&gt;$L$7,"",SUMIFS('Данные'!$D:$D,'Данные'!$A:$A,"&gt;="&amp;($K$7+32),'Данные'!$A:$A,"&lt;"&amp;($K$7+32)+1,'Данные'!$B:$B,$B$3))</f>
        <v/>
      </c>
      <c r="E91" s="31">
        <f>IF(($K$7+32)&gt;$L$7,"",SUMIFS('Данные'!$E:$E,'Данные'!$A:$A,"&gt;="&amp;($K$7+32),'Данные'!$A:$A,"&lt;"&amp;($K$7+32)+1,'Данные'!$B:$B,$B$3))</f>
        <v/>
      </c>
      <c r="F91" s="32">
        <f>IF(($K$7+32)&gt;$L$7,"",IFERROR(E91/D91,""))</f>
        <v/>
      </c>
      <c r="G91" s="33">
        <f>IF(($K$7+32)&gt;$L$7,"",IFERROR(B91/E91,""))</f>
        <v/>
      </c>
      <c r="H91" s="31">
        <f>IF(($K$7+32)&gt;$L$7,"",SUMIFS('Данные'!$F:$F,'Данные'!$A:$A,"&gt;="&amp;($K$7+32),'Данные'!$A:$A,"&lt;"&amp;($K$7+32)+1,'Данные'!$B:$B,$B$3))</f>
        <v/>
      </c>
      <c r="I91" s="33">
        <f>IF(($K$7+32)&gt;$L$7,"",IFERROR(B91/H91,""))</f>
        <v/>
      </c>
      <c r="J91" s="34">
        <f>IF(($K$7+32)&gt;$L$7,"",IFERROR(H91/E91,""))</f>
        <v/>
      </c>
    </row>
    <row r="92">
      <c r="A92" s="36">
        <f>IF(($K$7+33)&gt;$L$7,"",TEXT(($K$7+33),"DD.MM")&amp;" "&amp;CHOOSE(WEEKDAY(($K$7+33),2),"пн","вт","ср","чт","пт","сб","вс"))</f>
        <v/>
      </c>
      <c r="B92" s="37">
        <f>IF(($K$7+33)&gt;$L$7,"",SUMIFS('Данные'!$C:$C,'Данные'!$A:$A,"&gt;="&amp;($K$7+33),'Данные'!$A:$A,"&lt;"&amp;($K$7+33)+1,'Данные'!$B:$B,$B$3))</f>
        <v/>
      </c>
      <c r="C92" s="37">
        <f>IF(($K$7+33)&gt;$L$7,"",B92*(100+22)/100)</f>
        <v/>
      </c>
      <c r="D92" s="38">
        <f>IF(($K$7+33)&gt;$L$7,"",SUMIFS('Данные'!$D:$D,'Данные'!$A:$A,"&gt;="&amp;($K$7+33),'Данные'!$A:$A,"&lt;"&amp;($K$7+33)+1,'Данные'!$B:$B,$B$3))</f>
        <v/>
      </c>
      <c r="E92" s="38">
        <f>IF(($K$7+33)&gt;$L$7,"",SUMIFS('Данные'!$E:$E,'Данные'!$A:$A,"&gt;="&amp;($K$7+33),'Данные'!$A:$A,"&lt;"&amp;($K$7+33)+1,'Данные'!$B:$B,$B$3))</f>
        <v/>
      </c>
      <c r="F92" s="39">
        <f>IF(($K$7+33)&gt;$L$7,"",IFERROR(E92/D92,""))</f>
        <v/>
      </c>
      <c r="G92" s="40">
        <f>IF(($K$7+33)&gt;$L$7,"",IFERROR(B92/E92,""))</f>
        <v/>
      </c>
      <c r="H92" s="38">
        <f>IF(($K$7+33)&gt;$L$7,"",SUMIFS('Данные'!$F:$F,'Данные'!$A:$A,"&gt;="&amp;($K$7+33),'Данные'!$A:$A,"&lt;"&amp;($K$7+33)+1,'Данные'!$B:$B,$B$3))</f>
        <v/>
      </c>
      <c r="I92" s="40">
        <f>IF(($K$7+33)&gt;$L$7,"",IFERROR(B92/H92,""))</f>
        <v/>
      </c>
      <c r="J92" s="41">
        <f>IF(($K$7+33)&gt;$L$7,"",IFERROR(H92/E92,""))</f>
        <v/>
      </c>
    </row>
    <row r="93">
      <c r="A93" s="29">
        <f>IF(($K$7+34)&gt;$L$7,"",TEXT(($K$7+34),"DD.MM")&amp;" "&amp;CHOOSE(WEEKDAY(($K$7+34),2),"пн","вт","ср","чт","пт","сб","вс"))</f>
        <v/>
      </c>
      <c r="B93" s="30">
        <f>IF(($K$7+34)&gt;$L$7,"",SUMIFS('Данные'!$C:$C,'Данные'!$A:$A,"&gt;="&amp;($K$7+34),'Данные'!$A:$A,"&lt;"&amp;($K$7+34)+1,'Данные'!$B:$B,$B$3))</f>
        <v/>
      </c>
      <c r="C93" s="30">
        <f>IF(($K$7+34)&gt;$L$7,"",B93*(100+22)/100)</f>
        <v/>
      </c>
      <c r="D93" s="31">
        <f>IF(($K$7+34)&gt;$L$7,"",SUMIFS('Данные'!$D:$D,'Данные'!$A:$A,"&gt;="&amp;($K$7+34),'Данные'!$A:$A,"&lt;"&amp;($K$7+34)+1,'Данные'!$B:$B,$B$3))</f>
        <v/>
      </c>
      <c r="E93" s="31">
        <f>IF(($K$7+34)&gt;$L$7,"",SUMIFS('Данные'!$E:$E,'Данные'!$A:$A,"&gt;="&amp;($K$7+34),'Данные'!$A:$A,"&lt;"&amp;($K$7+34)+1,'Данные'!$B:$B,$B$3))</f>
        <v/>
      </c>
      <c r="F93" s="32">
        <f>IF(($K$7+34)&gt;$L$7,"",IFERROR(E93/D93,""))</f>
        <v/>
      </c>
      <c r="G93" s="33">
        <f>IF(($K$7+34)&gt;$L$7,"",IFERROR(B93/E93,""))</f>
        <v/>
      </c>
      <c r="H93" s="31">
        <f>IF(($K$7+34)&gt;$L$7,"",SUMIFS('Данные'!$F:$F,'Данные'!$A:$A,"&gt;="&amp;($K$7+34),'Данные'!$A:$A,"&lt;"&amp;($K$7+34)+1,'Данные'!$B:$B,$B$3))</f>
        <v/>
      </c>
      <c r="I93" s="33">
        <f>IF(($K$7+34)&gt;$L$7,"",IFERROR(B93/H93,""))</f>
        <v/>
      </c>
      <c r="J93" s="34">
        <f>IF(($K$7+34)&gt;$L$7,"",IFERROR(H93/E93,""))</f>
        <v/>
      </c>
    </row>
    <row r="94">
      <c r="A94" s="36">
        <f>IF(($K$7+35)&gt;$L$7,"",TEXT(($K$7+35),"DD.MM")&amp;" "&amp;CHOOSE(WEEKDAY(($K$7+35),2),"пн","вт","ср","чт","пт","сб","вс"))</f>
        <v/>
      </c>
      <c r="B94" s="37">
        <f>IF(($K$7+35)&gt;$L$7,"",SUMIFS('Данные'!$C:$C,'Данные'!$A:$A,"&gt;="&amp;($K$7+35),'Данные'!$A:$A,"&lt;"&amp;($K$7+35)+1,'Данные'!$B:$B,$B$3))</f>
        <v/>
      </c>
      <c r="C94" s="37">
        <f>IF(($K$7+35)&gt;$L$7,"",B94*(100+22)/100)</f>
        <v/>
      </c>
      <c r="D94" s="38">
        <f>IF(($K$7+35)&gt;$L$7,"",SUMIFS('Данные'!$D:$D,'Данные'!$A:$A,"&gt;="&amp;($K$7+35),'Данные'!$A:$A,"&lt;"&amp;($K$7+35)+1,'Данные'!$B:$B,$B$3))</f>
        <v/>
      </c>
      <c r="E94" s="38">
        <f>IF(($K$7+35)&gt;$L$7,"",SUMIFS('Данные'!$E:$E,'Данные'!$A:$A,"&gt;="&amp;($K$7+35),'Данные'!$A:$A,"&lt;"&amp;($K$7+35)+1,'Данные'!$B:$B,$B$3))</f>
        <v/>
      </c>
      <c r="F94" s="39">
        <f>IF(($K$7+35)&gt;$L$7,"",IFERROR(E94/D94,""))</f>
        <v/>
      </c>
      <c r="G94" s="40">
        <f>IF(($K$7+35)&gt;$L$7,"",IFERROR(B94/E94,""))</f>
        <v/>
      </c>
      <c r="H94" s="38">
        <f>IF(($K$7+35)&gt;$L$7,"",SUMIFS('Данные'!$F:$F,'Данные'!$A:$A,"&gt;="&amp;($K$7+35),'Данные'!$A:$A,"&lt;"&amp;($K$7+35)+1,'Данные'!$B:$B,$B$3))</f>
        <v/>
      </c>
      <c r="I94" s="40">
        <f>IF(($K$7+35)&gt;$L$7,"",IFERROR(B94/H94,""))</f>
        <v/>
      </c>
      <c r="J94" s="41">
        <f>IF(($K$7+35)&gt;$L$7,"",IFERROR(H94/E94,""))</f>
        <v/>
      </c>
    </row>
    <row r="95">
      <c r="A95" s="29">
        <f>IF(($K$7+36)&gt;$L$7,"",TEXT(($K$7+36),"DD.MM")&amp;" "&amp;CHOOSE(WEEKDAY(($K$7+36),2),"пн","вт","ср","чт","пт","сб","вс"))</f>
        <v/>
      </c>
      <c r="B95" s="30">
        <f>IF(($K$7+36)&gt;$L$7,"",SUMIFS('Данные'!$C:$C,'Данные'!$A:$A,"&gt;="&amp;($K$7+36),'Данные'!$A:$A,"&lt;"&amp;($K$7+36)+1,'Данные'!$B:$B,$B$3))</f>
        <v/>
      </c>
      <c r="C95" s="30">
        <f>IF(($K$7+36)&gt;$L$7,"",B95*(100+22)/100)</f>
        <v/>
      </c>
      <c r="D95" s="31">
        <f>IF(($K$7+36)&gt;$L$7,"",SUMIFS('Данные'!$D:$D,'Данные'!$A:$A,"&gt;="&amp;($K$7+36),'Данные'!$A:$A,"&lt;"&amp;($K$7+36)+1,'Данные'!$B:$B,$B$3))</f>
        <v/>
      </c>
      <c r="E95" s="31">
        <f>IF(($K$7+36)&gt;$L$7,"",SUMIFS('Данные'!$E:$E,'Данные'!$A:$A,"&gt;="&amp;($K$7+36),'Данные'!$A:$A,"&lt;"&amp;($K$7+36)+1,'Данные'!$B:$B,$B$3))</f>
        <v/>
      </c>
      <c r="F95" s="32">
        <f>IF(($K$7+36)&gt;$L$7,"",IFERROR(E95/D95,""))</f>
        <v/>
      </c>
      <c r="G95" s="33">
        <f>IF(($K$7+36)&gt;$L$7,"",IFERROR(B95/E95,""))</f>
        <v/>
      </c>
      <c r="H95" s="31">
        <f>IF(($K$7+36)&gt;$L$7,"",SUMIFS('Данные'!$F:$F,'Данные'!$A:$A,"&gt;="&amp;($K$7+36),'Данные'!$A:$A,"&lt;"&amp;($K$7+36)+1,'Данные'!$B:$B,$B$3))</f>
        <v/>
      </c>
      <c r="I95" s="33">
        <f>IF(($K$7+36)&gt;$L$7,"",IFERROR(B95/H95,""))</f>
        <v/>
      </c>
      <c r="J95" s="34">
        <f>IF(($K$7+36)&gt;$L$7,"",IFERROR(H95/E95,""))</f>
        <v/>
      </c>
    </row>
    <row r="96">
      <c r="A96" s="36">
        <f>IF(($K$7+37)&gt;$L$7,"",TEXT(($K$7+37),"DD.MM")&amp;" "&amp;CHOOSE(WEEKDAY(($K$7+37),2),"пн","вт","ср","чт","пт","сб","вс"))</f>
        <v/>
      </c>
      <c r="B96" s="37">
        <f>IF(($K$7+37)&gt;$L$7,"",SUMIFS('Данные'!$C:$C,'Данные'!$A:$A,"&gt;="&amp;($K$7+37),'Данные'!$A:$A,"&lt;"&amp;($K$7+37)+1,'Данные'!$B:$B,$B$3))</f>
        <v/>
      </c>
      <c r="C96" s="37">
        <f>IF(($K$7+37)&gt;$L$7,"",B96*(100+22)/100)</f>
        <v/>
      </c>
      <c r="D96" s="38">
        <f>IF(($K$7+37)&gt;$L$7,"",SUMIFS('Данные'!$D:$D,'Данные'!$A:$A,"&gt;="&amp;($K$7+37),'Данные'!$A:$A,"&lt;"&amp;($K$7+37)+1,'Данные'!$B:$B,$B$3))</f>
        <v/>
      </c>
      <c r="E96" s="38">
        <f>IF(($K$7+37)&gt;$L$7,"",SUMIFS('Данные'!$E:$E,'Данные'!$A:$A,"&gt;="&amp;($K$7+37),'Данные'!$A:$A,"&lt;"&amp;($K$7+37)+1,'Данные'!$B:$B,$B$3))</f>
        <v/>
      </c>
      <c r="F96" s="39">
        <f>IF(($K$7+37)&gt;$L$7,"",IFERROR(E96/D96,""))</f>
        <v/>
      </c>
      <c r="G96" s="40">
        <f>IF(($K$7+37)&gt;$L$7,"",IFERROR(B96/E96,""))</f>
        <v/>
      </c>
      <c r="H96" s="38">
        <f>IF(($K$7+37)&gt;$L$7,"",SUMIFS('Данные'!$F:$F,'Данные'!$A:$A,"&gt;="&amp;($K$7+37),'Данные'!$A:$A,"&lt;"&amp;($K$7+37)+1,'Данные'!$B:$B,$B$3))</f>
        <v/>
      </c>
      <c r="I96" s="40">
        <f>IF(($K$7+37)&gt;$L$7,"",IFERROR(B96/H96,""))</f>
        <v/>
      </c>
      <c r="J96" s="41">
        <f>IF(($K$7+37)&gt;$L$7,"",IFERROR(H96/E96,""))</f>
        <v/>
      </c>
    </row>
    <row r="97">
      <c r="A97" s="29">
        <f>IF(($K$7+38)&gt;$L$7,"",TEXT(($K$7+38),"DD.MM")&amp;" "&amp;CHOOSE(WEEKDAY(($K$7+38),2),"пн","вт","ср","чт","пт","сб","вс"))</f>
        <v/>
      </c>
      <c r="B97" s="30">
        <f>IF(($K$7+38)&gt;$L$7,"",SUMIFS('Данные'!$C:$C,'Данные'!$A:$A,"&gt;="&amp;($K$7+38),'Данные'!$A:$A,"&lt;"&amp;($K$7+38)+1,'Данные'!$B:$B,$B$3))</f>
        <v/>
      </c>
      <c r="C97" s="30">
        <f>IF(($K$7+38)&gt;$L$7,"",B97*(100+22)/100)</f>
        <v/>
      </c>
      <c r="D97" s="31">
        <f>IF(($K$7+38)&gt;$L$7,"",SUMIFS('Данные'!$D:$D,'Данные'!$A:$A,"&gt;="&amp;($K$7+38),'Данные'!$A:$A,"&lt;"&amp;($K$7+38)+1,'Данные'!$B:$B,$B$3))</f>
        <v/>
      </c>
      <c r="E97" s="31">
        <f>IF(($K$7+38)&gt;$L$7,"",SUMIFS('Данные'!$E:$E,'Данные'!$A:$A,"&gt;="&amp;($K$7+38),'Данные'!$A:$A,"&lt;"&amp;($K$7+38)+1,'Данные'!$B:$B,$B$3))</f>
        <v/>
      </c>
      <c r="F97" s="32">
        <f>IF(($K$7+38)&gt;$L$7,"",IFERROR(E97/D97,""))</f>
        <v/>
      </c>
      <c r="G97" s="33">
        <f>IF(($K$7+38)&gt;$L$7,"",IFERROR(B97/E97,""))</f>
        <v/>
      </c>
      <c r="H97" s="31">
        <f>IF(($K$7+38)&gt;$L$7,"",SUMIFS('Данные'!$F:$F,'Данные'!$A:$A,"&gt;="&amp;($K$7+38),'Данные'!$A:$A,"&lt;"&amp;($K$7+38)+1,'Данные'!$B:$B,$B$3))</f>
        <v/>
      </c>
      <c r="I97" s="33">
        <f>IF(($K$7+38)&gt;$L$7,"",IFERROR(B97/H97,""))</f>
        <v/>
      </c>
      <c r="J97" s="34">
        <f>IF(($K$7+38)&gt;$L$7,"",IFERROR(H97/E97,""))</f>
        <v/>
      </c>
    </row>
    <row r="98">
      <c r="A98" s="36">
        <f>IF(($K$7+39)&gt;$L$7,"",TEXT(($K$7+39),"DD.MM")&amp;" "&amp;CHOOSE(WEEKDAY(($K$7+39),2),"пн","вт","ср","чт","пт","сб","вс"))</f>
        <v/>
      </c>
      <c r="B98" s="37">
        <f>IF(($K$7+39)&gt;$L$7,"",SUMIFS('Данные'!$C:$C,'Данные'!$A:$A,"&gt;="&amp;($K$7+39),'Данные'!$A:$A,"&lt;"&amp;($K$7+39)+1,'Данные'!$B:$B,$B$3))</f>
        <v/>
      </c>
      <c r="C98" s="37">
        <f>IF(($K$7+39)&gt;$L$7,"",B98*(100+22)/100)</f>
        <v/>
      </c>
      <c r="D98" s="38">
        <f>IF(($K$7+39)&gt;$L$7,"",SUMIFS('Данные'!$D:$D,'Данные'!$A:$A,"&gt;="&amp;($K$7+39),'Данные'!$A:$A,"&lt;"&amp;($K$7+39)+1,'Данные'!$B:$B,$B$3))</f>
        <v/>
      </c>
      <c r="E98" s="38">
        <f>IF(($K$7+39)&gt;$L$7,"",SUMIFS('Данные'!$E:$E,'Данные'!$A:$A,"&gt;="&amp;($K$7+39),'Данные'!$A:$A,"&lt;"&amp;($K$7+39)+1,'Данные'!$B:$B,$B$3))</f>
        <v/>
      </c>
      <c r="F98" s="39">
        <f>IF(($K$7+39)&gt;$L$7,"",IFERROR(E98/D98,""))</f>
        <v/>
      </c>
      <c r="G98" s="40">
        <f>IF(($K$7+39)&gt;$L$7,"",IFERROR(B98/E98,""))</f>
        <v/>
      </c>
      <c r="H98" s="38">
        <f>IF(($K$7+39)&gt;$L$7,"",SUMIFS('Данные'!$F:$F,'Данные'!$A:$A,"&gt;="&amp;($K$7+39),'Данные'!$A:$A,"&lt;"&amp;($K$7+39)+1,'Данные'!$B:$B,$B$3))</f>
        <v/>
      </c>
      <c r="I98" s="40">
        <f>IF(($K$7+39)&gt;$L$7,"",IFERROR(B98/H98,""))</f>
        <v/>
      </c>
      <c r="J98" s="41">
        <f>IF(($K$7+39)&gt;$L$7,"",IFERROR(H98/E98,""))</f>
        <v/>
      </c>
    </row>
    <row r="99">
      <c r="A99" s="29">
        <f>IF(($K$7+40)&gt;$L$7,"",TEXT(($K$7+40),"DD.MM")&amp;" "&amp;CHOOSE(WEEKDAY(($K$7+40),2),"пн","вт","ср","чт","пт","сб","вс"))</f>
        <v/>
      </c>
      <c r="B99" s="30">
        <f>IF(($K$7+40)&gt;$L$7,"",SUMIFS('Данные'!$C:$C,'Данные'!$A:$A,"&gt;="&amp;($K$7+40),'Данные'!$A:$A,"&lt;"&amp;($K$7+40)+1,'Данные'!$B:$B,$B$3))</f>
        <v/>
      </c>
      <c r="C99" s="30">
        <f>IF(($K$7+40)&gt;$L$7,"",B99*(100+22)/100)</f>
        <v/>
      </c>
      <c r="D99" s="31">
        <f>IF(($K$7+40)&gt;$L$7,"",SUMIFS('Данные'!$D:$D,'Данные'!$A:$A,"&gt;="&amp;($K$7+40),'Данные'!$A:$A,"&lt;"&amp;($K$7+40)+1,'Данные'!$B:$B,$B$3))</f>
        <v/>
      </c>
      <c r="E99" s="31">
        <f>IF(($K$7+40)&gt;$L$7,"",SUMIFS('Данные'!$E:$E,'Данные'!$A:$A,"&gt;="&amp;($K$7+40),'Данные'!$A:$A,"&lt;"&amp;($K$7+40)+1,'Данные'!$B:$B,$B$3))</f>
        <v/>
      </c>
      <c r="F99" s="32">
        <f>IF(($K$7+40)&gt;$L$7,"",IFERROR(E99/D99,""))</f>
        <v/>
      </c>
      <c r="G99" s="33">
        <f>IF(($K$7+40)&gt;$L$7,"",IFERROR(B99/E99,""))</f>
        <v/>
      </c>
      <c r="H99" s="31">
        <f>IF(($K$7+40)&gt;$L$7,"",SUMIFS('Данные'!$F:$F,'Данные'!$A:$A,"&gt;="&amp;($K$7+40),'Данные'!$A:$A,"&lt;"&amp;($K$7+40)+1,'Данные'!$B:$B,$B$3))</f>
        <v/>
      </c>
      <c r="I99" s="33">
        <f>IF(($K$7+40)&gt;$L$7,"",IFERROR(B99/H99,""))</f>
        <v/>
      </c>
      <c r="J99" s="34">
        <f>IF(($K$7+40)&gt;$L$7,"",IFERROR(H99/E99,""))</f>
        <v/>
      </c>
    </row>
    <row r="100">
      <c r="A100" s="36">
        <f>IF(($K$7+41)&gt;$L$7,"",TEXT(($K$7+41),"DD.MM")&amp;" "&amp;CHOOSE(WEEKDAY(($K$7+41),2),"пн","вт","ср","чт","пт","сб","вс"))</f>
        <v/>
      </c>
      <c r="B100" s="37">
        <f>IF(($K$7+41)&gt;$L$7,"",SUMIFS('Данные'!$C:$C,'Данные'!$A:$A,"&gt;="&amp;($K$7+41),'Данные'!$A:$A,"&lt;"&amp;($K$7+41)+1,'Данные'!$B:$B,$B$3))</f>
        <v/>
      </c>
      <c r="C100" s="37">
        <f>IF(($K$7+41)&gt;$L$7,"",B100*(100+22)/100)</f>
        <v/>
      </c>
      <c r="D100" s="38">
        <f>IF(($K$7+41)&gt;$L$7,"",SUMIFS('Данные'!$D:$D,'Данные'!$A:$A,"&gt;="&amp;($K$7+41),'Данные'!$A:$A,"&lt;"&amp;($K$7+41)+1,'Данные'!$B:$B,$B$3))</f>
        <v/>
      </c>
      <c r="E100" s="38">
        <f>IF(($K$7+41)&gt;$L$7,"",SUMIFS('Данные'!$E:$E,'Данные'!$A:$A,"&gt;="&amp;($K$7+41),'Данные'!$A:$A,"&lt;"&amp;($K$7+41)+1,'Данные'!$B:$B,$B$3))</f>
        <v/>
      </c>
      <c r="F100" s="39">
        <f>IF(($K$7+41)&gt;$L$7,"",IFERROR(E100/D100,""))</f>
        <v/>
      </c>
      <c r="G100" s="40">
        <f>IF(($K$7+41)&gt;$L$7,"",IFERROR(B100/E100,""))</f>
        <v/>
      </c>
      <c r="H100" s="38">
        <f>IF(($K$7+41)&gt;$L$7,"",SUMIFS('Данные'!$F:$F,'Данные'!$A:$A,"&gt;="&amp;($K$7+41),'Данные'!$A:$A,"&lt;"&amp;($K$7+41)+1,'Данные'!$B:$B,$B$3))</f>
        <v/>
      </c>
      <c r="I100" s="40">
        <f>IF(($K$7+41)&gt;$L$7,"",IFERROR(B100/H100,""))</f>
        <v/>
      </c>
      <c r="J100" s="41">
        <f>IF(($K$7+41)&gt;$L$7,"",IFERROR(H100/E100,""))</f>
        <v/>
      </c>
    </row>
    <row r="101">
      <c r="A101" s="29">
        <f>IF(($K$7+42)&gt;$L$7,"",TEXT(($K$7+42),"DD.MM")&amp;" "&amp;CHOOSE(WEEKDAY(($K$7+42),2),"пн","вт","ср","чт","пт","сб","вс"))</f>
        <v/>
      </c>
      <c r="B101" s="30">
        <f>IF(($K$7+42)&gt;$L$7,"",SUMIFS('Данные'!$C:$C,'Данные'!$A:$A,"&gt;="&amp;($K$7+42),'Данные'!$A:$A,"&lt;"&amp;($K$7+42)+1,'Данные'!$B:$B,$B$3))</f>
        <v/>
      </c>
      <c r="C101" s="30">
        <f>IF(($K$7+42)&gt;$L$7,"",B101*(100+22)/100)</f>
        <v/>
      </c>
      <c r="D101" s="31">
        <f>IF(($K$7+42)&gt;$L$7,"",SUMIFS('Данные'!$D:$D,'Данные'!$A:$A,"&gt;="&amp;($K$7+42),'Данные'!$A:$A,"&lt;"&amp;($K$7+42)+1,'Данные'!$B:$B,$B$3))</f>
        <v/>
      </c>
      <c r="E101" s="31">
        <f>IF(($K$7+42)&gt;$L$7,"",SUMIFS('Данные'!$E:$E,'Данные'!$A:$A,"&gt;="&amp;($K$7+42),'Данные'!$A:$A,"&lt;"&amp;($K$7+42)+1,'Данные'!$B:$B,$B$3))</f>
        <v/>
      </c>
      <c r="F101" s="32">
        <f>IF(($K$7+42)&gt;$L$7,"",IFERROR(E101/D101,""))</f>
        <v/>
      </c>
      <c r="G101" s="33">
        <f>IF(($K$7+42)&gt;$L$7,"",IFERROR(B101/E101,""))</f>
        <v/>
      </c>
      <c r="H101" s="31">
        <f>IF(($K$7+42)&gt;$L$7,"",SUMIFS('Данные'!$F:$F,'Данные'!$A:$A,"&gt;="&amp;($K$7+42),'Данные'!$A:$A,"&lt;"&amp;($K$7+42)+1,'Данные'!$B:$B,$B$3))</f>
        <v/>
      </c>
      <c r="I101" s="33">
        <f>IF(($K$7+42)&gt;$L$7,"",IFERROR(B101/H101,""))</f>
        <v/>
      </c>
      <c r="J101" s="34">
        <f>IF(($K$7+42)&gt;$L$7,"",IFERROR(H101/E101,""))</f>
        <v/>
      </c>
    </row>
    <row r="102">
      <c r="A102" s="36">
        <f>IF(($K$7+43)&gt;$L$7,"",TEXT(($K$7+43),"DD.MM")&amp;" "&amp;CHOOSE(WEEKDAY(($K$7+43),2),"пн","вт","ср","чт","пт","сб","вс"))</f>
        <v/>
      </c>
      <c r="B102" s="37">
        <f>IF(($K$7+43)&gt;$L$7,"",SUMIFS('Данные'!$C:$C,'Данные'!$A:$A,"&gt;="&amp;($K$7+43),'Данные'!$A:$A,"&lt;"&amp;($K$7+43)+1,'Данные'!$B:$B,$B$3))</f>
        <v/>
      </c>
      <c r="C102" s="37">
        <f>IF(($K$7+43)&gt;$L$7,"",B102*(100+22)/100)</f>
        <v/>
      </c>
      <c r="D102" s="38">
        <f>IF(($K$7+43)&gt;$L$7,"",SUMIFS('Данные'!$D:$D,'Данные'!$A:$A,"&gt;="&amp;($K$7+43),'Данные'!$A:$A,"&lt;"&amp;($K$7+43)+1,'Данные'!$B:$B,$B$3))</f>
        <v/>
      </c>
      <c r="E102" s="38">
        <f>IF(($K$7+43)&gt;$L$7,"",SUMIFS('Данные'!$E:$E,'Данные'!$A:$A,"&gt;="&amp;($K$7+43),'Данные'!$A:$A,"&lt;"&amp;($K$7+43)+1,'Данные'!$B:$B,$B$3))</f>
        <v/>
      </c>
      <c r="F102" s="39">
        <f>IF(($K$7+43)&gt;$L$7,"",IFERROR(E102/D102,""))</f>
        <v/>
      </c>
      <c r="G102" s="40">
        <f>IF(($K$7+43)&gt;$L$7,"",IFERROR(B102/E102,""))</f>
        <v/>
      </c>
      <c r="H102" s="38">
        <f>IF(($K$7+43)&gt;$L$7,"",SUMIFS('Данные'!$F:$F,'Данные'!$A:$A,"&gt;="&amp;($K$7+43),'Данные'!$A:$A,"&lt;"&amp;($K$7+43)+1,'Данные'!$B:$B,$B$3))</f>
        <v/>
      </c>
      <c r="I102" s="40">
        <f>IF(($K$7+43)&gt;$L$7,"",IFERROR(B102/H102,""))</f>
        <v/>
      </c>
      <c r="J102" s="41">
        <f>IF(($K$7+43)&gt;$L$7,"",IFERROR(H102/E102,""))</f>
        <v/>
      </c>
    </row>
    <row r="103">
      <c r="A103" s="29">
        <f>IF(($K$7+44)&gt;$L$7,"",TEXT(($K$7+44),"DD.MM")&amp;" "&amp;CHOOSE(WEEKDAY(($K$7+44),2),"пн","вт","ср","чт","пт","сб","вс"))</f>
        <v/>
      </c>
      <c r="B103" s="30">
        <f>IF(($K$7+44)&gt;$L$7,"",SUMIFS('Данные'!$C:$C,'Данные'!$A:$A,"&gt;="&amp;($K$7+44),'Данные'!$A:$A,"&lt;"&amp;($K$7+44)+1,'Данные'!$B:$B,$B$3))</f>
        <v/>
      </c>
      <c r="C103" s="30">
        <f>IF(($K$7+44)&gt;$L$7,"",B103*(100+22)/100)</f>
        <v/>
      </c>
      <c r="D103" s="31">
        <f>IF(($K$7+44)&gt;$L$7,"",SUMIFS('Данные'!$D:$D,'Данные'!$A:$A,"&gt;="&amp;($K$7+44),'Данные'!$A:$A,"&lt;"&amp;($K$7+44)+1,'Данные'!$B:$B,$B$3))</f>
        <v/>
      </c>
      <c r="E103" s="31">
        <f>IF(($K$7+44)&gt;$L$7,"",SUMIFS('Данные'!$E:$E,'Данные'!$A:$A,"&gt;="&amp;($K$7+44),'Данные'!$A:$A,"&lt;"&amp;($K$7+44)+1,'Данные'!$B:$B,$B$3))</f>
        <v/>
      </c>
      <c r="F103" s="32">
        <f>IF(($K$7+44)&gt;$L$7,"",IFERROR(E103/D103,""))</f>
        <v/>
      </c>
      <c r="G103" s="33">
        <f>IF(($K$7+44)&gt;$L$7,"",IFERROR(B103/E103,""))</f>
        <v/>
      </c>
      <c r="H103" s="31">
        <f>IF(($K$7+44)&gt;$L$7,"",SUMIFS('Данные'!$F:$F,'Данные'!$A:$A,"&gt;="&amp;($K$7+44),'Данные'!$A:$A,"&lt;"&amp;($K$7+44)+1,'Данные'!$B:$B,$B$3))</f>
        <v/>
      </c>
      <c r="I103" s="33">
        <f>IF(($K$7+44)&gt;$L$7,"",IFERROR(B103/H103,""))</f>
        <v/>
      </c>
      <c r="J103" s="34">
        <f>IF(($K$7+44)&gt;$L$7,"",IFERROR(H103/E103,""))</f>
        <v/>
      </c>
    </row>
    <row r="104">
      <c r="A104" s="36">
        <f>IF(($K$7+45)&gt;$L$7,"",TEXT(($K$7+45),"DD.MM")&amp;" "&amp;CHOOSE(WEEKDAY(($K$7+45),2),"пн","вт","ср","чт","пт","сб","вс"))</f>
        <v/>
      </c>
      <c r="B104" s="37">
        <f>IF(($K$7+45)&gt;$L$7,"",SUMIFS('Данные'!$C:$C,'Данные'!$A:$A,"&gt;="&amp;($K$7+45),'Данные'!$A:$A,"&lt;"&amp;($K$7+45)+1,'Данные'!$B:$B,$B$3))</f>
        <v/>
      </c>
      <c r="C104" s="37">
        <f>IF(($K$7+45)&gt;$L$7,"",B104*(100+22)/100)</f>
        <v/>
      </c>
      <c r="D104" s="38">
        <f>IF(($K$7+45)&gt;$L$7,"",SUMIFS('Данные'!$D:$D,'Данные'!$A:$A,"&gt;="&amp;($K$7+45),'Данные'!$A:$A,"&lt;"&amp;($K$7+45)+1,'Данные'!$B:$B,$B$3))</f>
        <v/>
      </c>
      <c r="E104" s="38">
        <f>IF(($K$7+45)&gt;$L$7,"",SUMIFS('Данные'!$E:$E,'Данные'!$A:$A,"&gt;="&amp;($K$7+45),'Данные'!$A:$A,"&lt;"&amp;($K$7+45)+1,'Данные'!$B:$B,$B$3))</f>
        <v/>
      </c>
      <c r="F104" s="39">
        <f>IF(($K$7+45)&gt;$L$7,"",IFERROR(E104/D104,""))</f>
        <v/>
      </c>
      <c r="G104" s="40">
        <f>IF(($K$7+45)&gt;$L$7,"",IFERROR(B104/E104,""))</f>
        <v/>
      </c>
      <c r="H104" s="38">
        <f>IF(($K$7+45)&gt;$L$7,"",SUMIFS('Данные'!$F:$F,'Данные'!$A:$A,"&gt;="&amp;($K$7+45),'Данные'!$A:$A,"&lt;"&amp;($K$7+45)+1,'Данные'!$B:$B,$B$3))</f>
        <v/>
      </c>
      <c r="I104" s="40">
        <f>IF(($K$7+45)&gt;$L$7,"",IFERROR(B104/H104,""))</f>
        <v/>
      </c>
      <c r="J104" s="41">
        <f>IF(($K$7+45)&gt;$L$7,"",IFERROR(H104/E104,""))</f>
        <v/>
      </c>
    </row>
    <row r="105">
      <c r="A105" s="29">
        <f>IF(($K$7+46)&gt;$L$7,"",TEXT(($K$7+46),"DD.MM")&amp;" "&amp;CHOOSE(WEEKDAY(($K$7+46),2),"пн","вт","ср","чт","пт","сб","вс"))</f>
        <v/>
      </c>
      <c r="B105" s="30">
        <f>IF(($K$7+46)&gt;$L$7,"",SUMIFS('Данные'!$C:$C,'Данные'!$A:$A,"&gt;="&amp;($K$7+46),'Данные'!$A:$A,"&lt;"&amp;($K$7+46)+1,'Данные'!$B:$B,$B$3))</f>
        <v/>
      </c>
      <c r="C105" s="30">
        <f>IF(($K$7+46)&gt;$L$7,"",B105*(100+22)/100)</f>
        <v/>
      </c>
      <c r="D105" s="31">
        <f>IF(($K$7+46)&gt;$L$7,"",SUMIFS('Данные'!$D:$D,'Данные'!$A:$A,"&gt;="&amp;($K$7+46),'Данные'!$A:$A,"&lt;"&amp;($K$7+46)+1,'Данные'!$B:$B,$B$3))</f>
        <v/>
      </c>
      <c r="E105" s="31">
        <f>IF(($K$7+46)&gt;$L$7,"",SUMIFS('Данные'!$E:$E,'Данные'!$A:$A,"&gt;="&amp;($K$7+46),'Данные'!$A:$A,"&lt;"&amp;($K$7+46)+1,'Данные'!$B:$B,$B$3))</f>
        <v/>
      </c>
      <c r="F105" s="32">
        <f>IF(($K$7+46)&gt;$L$7,"",IFERROR(E105/D105,""))</f>
        <v/>
      </c>
      <c r="G105" s="33">
        <f>IF(($K$7+46)&gt;$L$7,"",IFERROR(B105/E105,""))</f>
        <v/>
      </c>
      <c r="H105" s="31">
        <f>IF(($K$7+46)&gt;$L$7,"",SUMIFS('Данные'!$F:$F,'Данные'!$A:$A,"&gt;="&amp;($K$7+46),'Данные'!$A:$A,"&lt;"&amp;($K$7+46)+1,'Данные'!$B:$B,$B$3))</f>
        <v/>
      </c>
      <c r="I105" s="33">
        <f>IF(($K$7+46)&gt;$L$7,"",IFERROR(B105/H105,""))</f>
        <v/>
      </c>
      <c r="J105" s="34">
        <f>IF(($K$7+46)&gt;$L$7,"",IFERROR(H105/E105,""))</f>
        <v/>
      </c>
    </row>
    <row r="106">
      <c r="A106" s="36">
        <f>IF(($K$7+47)&gt;$L$7,"",TEXT(($K$7+47),"DD.MM")&amp;" "&amp;CHOOSE(WEEKDAY(($K$7+47),2),"пн","вт","ср","чт","пт","сб","вс"))</f>
        <v/>
      </c>
      <c r="B106" s="37">
        <f>IF(($K$7+47)&gt;$L$7,"",SUMIFS('Данные'!$C:$C,'Данные'!$A:$A,"&gt;="&amp;($K$7+47),'Данные'!$A:$A,"&lt;"&amp;($K$7+47)+1,'Данные'!$B:$B,$B$3))</f>
        <v/>
      </c>
      <c r="C106" s="37">
        <f>IF(($K$7+47)&gt;$L$7,"",B106*(100+22)/100)</f>
        <v/>
      </c>
      <c r="D106" s="38">
        <f>IF(($K$7+47)&gt;$L$7,"",SUMIFS('Данные'!$D:$D,'Данные'!$A:$A,"&gt;="&amp;($K$7+47),'Данные'!$A:$A,"&lt;"&amp;($K$7+47)+1,'Данные'!$B:$B,$B$3))</f>
        <v/>
      </c>
      <c r="E106" s="38">
        <f>IF(($K$7+47)&gt;$L$7,"",SUMIFS('Данные'!$E:$E,'Данные'!$A:$A,"&gt;="&amp;($K$7+47),'Данные'!$A:$A,"&lt;"&amp;($K$7+47)+1,'Данные'!$B:$B,$B$3))</f>
        <v/>
      </c>
      <c r="F106" s="39">
        <f>IF(($K$7+47)&gt;$L$7,"",IFERROR(E106/D106,""))</f>
        <v/>
      </c>
      <c r="G106" s="40">
        <f>IF(($K$7+47)&gt;$L$7,"",IFERROR(B106/E106,""))</f>
        <v/>
      </c>
      <c r="H106" s="38">
        <f>IF(($K$7+47)&gt;$L$7,"",SUMIFS('Данные'!$F:$F,'Данные'!$A:$A,"&gt;="&amp;($K$7+47),'Данные'!$A:$A,"&lt;"&amp;($K$7+47)+1,'Данные'!$B:$B,$B$3))</f>
        <v/>
      </c>
      <c r="I106" s="40">
        <f>IF(($K$7+47)&gt;$L$7,"",IFERROR(B106/H106,""))</f>
        <v/>
      </c>
      <c r="J106" s="41">
        <f>IF(($K$7+47)&gt;$L$7,"",IFERROR(H106/E106,""))</f>
        <v/>
      </c>
    </row>
    <row r="107">
      <c r="A107" s="29">
        <f>IF(($K$7+48)&gt;$L$7,"",TEXT(($K$7+48),"DD.MM")&amp;" "&amp;CHOOSE(WEEKDAY(($K$7+48),2),"пн","вт","ср","чт","пт","сб","вс"))</f>
        <v/>
      </c>
      <c r="B107" s="30">
        <f>IF(($K$7+48)&gt;$L$7,"",SUMIFS('Данные'!$C:$C,'Данные'!$A:$A,"&gt;="&amp;($K$7+48),'Данные'!$A:$A,"&lt;"&amp;($K$7+48)+1,'Данные'!$B:$B,$B$3))</f>
        <v/>
      </c>
      <c r="C107" s="30">
        <f>IF(($K$7+48)&gt;$L$7,"",B107*(100+22)/100)</f>
        <v/>
      </c>
      <c r="D107" s="31">
        <f>IF(($K$7+48)&gt;$L$7,"",SUMIFS('Данные'!$D:$D,'Данные'!$A:$A,"&gt;="&amp;($K$7+48),'Данные'!$A:$A,"&lt;"&amp;($K$7+48)+1,'Данные'!$B:$B,$B$3))</f>
        <v/>
      </c>
      <c r="E107" s="31">
        <f>IF(($K$7+48)&gt;$L$7,"",SUMIFS('Данные'!$E:$E,'Данные'!$A:$A,"&gt;="&amp;($K$7+48),'Данные'!$A:$A,"&lt;"&amp;($K$7+48)+1,'Данные'!$B:$B,$B$3))</f>
        <v/>
      </c>
      <c r="F107" s="32">
        <f>IF(($K$7+48)&gt;$L$7,"",IFERROR(E107/D107,""))</f>
        <v/>
      </c>
      <c r="G107" s="33">
        <f>IF(($K$7+48)&gt;$L$7,"",IFERROR(B107/E107,""))</f>
        <v/>
      </c>
      <c r="H107" s="31">
        <f>IF(($K$7+48)&gt;$L$7,"",SUMIFS('Данные'!$F:$F,'Данные'!$A:$A,"&gt;="&amp;($K$7+48),'Данные'!$A:$A,"&lt;"&amp;($K$7+48)+1,'Данные'!$B:$B,$B$3))</f>
        <v/>
      </c>
      <c r="I107" s="33">
        <f>IF(($K$7+48)&gt;$L$7,"",IFERROR(B107/H107,""))</f>
        <v/>
      </c>
      <c r="J107" s="34">
        <f>IF(($K$7+48)&gt;$L$7,"",IFERROR(H107/E107,""))</f>
        <v/>
      </c>
    </row>
    <row r="108">
      <c r="A108" s="36">
        <f>IF(($K$7+49)&gt;$L$7,"",TEXT(($K$7+49),"DD.MM")&amp;" "&amp;CHOOSE(WEEKDAY(($K$7+49),2),"пн","вт","ср","чт","пт","сб","вс"))</f>
        <v/>
      </c>
      <c r="B108" s="37">
        <f>IF(($K$7+49)&gt;$L$7,"",SUMIFS('Данные'!$C:$C,'Данные'!$A:$A,"&gt;="&amp;($K$7+49),'Данные'!$A:$A,"&lt;"&amp;($K$7+49)+1,'Данные'!$B:$B,$B$3))</f>
        <v/>
      </c>
      <c r="C108" s="37">
        <f>IF(($K$7+49)&gt;$L$7,"",B108*(100+22)/100)</f>
        <v/>
      </c>
      <c r="D108" s="38">
        <f>IF(($K$7+49)&gt;$L$7,"",SUMIFS('Данные'!$D:$D,'Данные'!$A:$A,"&gt;="&amp;($K$7+49),'Данные'!$A:$A,"&lt;"&amp;($K$7+49)+1,'Данные'!$B:$B,$B$3))</f>
        <v/>
      </c>
      <c r="E108" s="38">
        <f>IF(($K$7+49)&gt;$L$7,"",SUMIFS('Данные'!$E:$E,'Данные'!$A:$A,"&gt;="&amp;($K$7+49),'Данные'!$A:$A,"&lt;"&amp;($K$7+49)+1,'Данные'!$B:$B,$B$3))</f>
        <v/>
      </c>
      <c r="F108" s="39">
        <f>IF(($K$7+49)&gt;$L$7,"",IFERROR(E108/D108,""))</f>
        <v/>
      </c>
      <c r="G108" s="40">
        <f>IF(($K$7+49)&gt;$L$7,"",IFERROR(B108/E108,""))</f>
        <v/>
      </c>
      <c r="H108" s="38">
        <f>IF(($K$7+49)&gt;$L$7,"",SUMIFS('Данные'!$F:$F,'Данные'!$A:$A,"&gt;="&amp;($K$7+49),'Данные'!$A:$A,"&lt;"&amp;($K$7+49)+1,'Данные'!$B:$B,$B$3))</f>
        <v/>
      </c>
      <c r="I108" s="40">
        <f>IF(($K$7+49)&gt;$L$7,"",IFERROR(B108/H108,""))</f>
        <v/>
      </c>
      <c r="J108" s="41">
        <f>IF(($K$7+49)&gt;$L$7,"",IFERROR(H108/E108,""))</f>
        <v/>
      </c>
    </row>
    <row r="109">
      <c r="A109" s="29">
        <f>IF(($K$7+50)&gt;$L$7,"",TEXT(($K$7+50),"DD.MM")&amp;" "&amp;CHOOSE(WEEKDAY(($K$7+50),2),"пн","вт","ср","чт","пт","сб","вс"))</f>
        <v/>
      </c>
      <c r="B109" s="30">
        <f>IF(($K$7+50)&gt;$L$7,"",SUMIFS('Данные'!$C:$C,'Данные'!$A:$A,"&gt;="&amp;($K$7+50),'Данные'!$A:$A,"&lt;"&amp;($K$7+50)+1,'Данные'!$B:$B,$B$3))</f>
        <v/>
      </c>
      <c r="C109" s="30">
        <f>IF(($K$7+50)&gt;$L$7,"",B109*(100+22)/100)</f>
        <v/>
      </c>
      <c r="D109" s="31">
        <f>IF(($K$7+50)&gt;$L$7,"",SUMIFS('Данные'!$D:$D,'Данные'!$A:$A,"&gt;="&amp;($K$7+50),'Данные'!$A:$A,"&lt;"&amp;($K$7+50)+1,'Данные'!$B:$B,$B$3))</f>
        <v/>
      </c>
      <c r="E109" s="31">
        <f>IF(($K$7+50)&gt;$L$7,"",SUMIFS('Данные'!$E:$E,'Данные'!$A:$A,"&gt;="&amp;($K$7+50),'Данные'!$A:$A,"&lt;"&amp;($K$7+50)+1,'Данные'!$B:$B,$B$3))</f>
        <v/>
      </c>
      <c r="F109" s="32">
        <f>IF(($K$7+50)&gt;$L$7,"",IFERROR(E109/D109,""))</f>
        <v/>
      </c>
      <c r="G109" s="33">
        <f>IF(($K$7+50)&gt;$L$7,"",IFERROR(B109/E109,""))</f>
        <v/>
      </c>
      <c r="H109" s="31">
        <f>IF(($K$7+50)&gt;$L$7,"",SUMIFS('Данные'!$F:$F,'Данные'!$A:$A,"&gt;="&amp;($K$7+50),'Данные'!$A:$A,"&lt;"&amp;($K$7+50)+1,'Данные'!$B:$B,$B$3))</f>
        <v/>
      </c>
      <c r="I109" s="33">
        <f>IF(($K$7+50)&gt;$L$7,"",IFERROR(B109/H109,""))</f>
        <v/>
      </c>
      <c r="J109" s="34">
        <f>IF(($K$7+50)&gt;$L$7,"",IFERROR(H109/E109,""))</f>
        <v/>
      </c>
    </row>
    <row r="110">
      <c r="A110" s="36">
        <f>IF(($K$7+51)&gt;$L$7,"",TEXT(($K$7+51),"DD.MM")&amp;" "&amp;CHOOSE(WEEKDAY(($K$7+51),2),"пн","вт","ср","чт","пт","сб","вс"))</f>
        <v/>
      </c>
      <c r="B110" s="37">
        <f>IF(($K$7+51)&gt;$L$7,"",SUMIFS('Данные'!$C:$C,'Данные'!$A:$A,"&gt;="&amp;($K$7+51),'Данные'!$A:$A,"&lt;"&amp;($K$7+51)+1,'Данные'!$B:$B,$B$3))</f>
        <v/>
      </c>
      <c r="C110" s="37">
        <f>IF(($K$7+51)&gt;$L$7,"",B110*(100+22)/100)</f>
        <v/>
      </c>
      <c r="D110" s="38">
        <f>IF(($K$7+51)&gt;$L$7,"",SUMIFS('Данные'!$D:$D,'Данные'!$A:$A,"&gt;="&amp;($K$7+51),'Данные'!$A:$A,"&lt;"&amp;($K$7+51)+1,'Данные'!$B:$B,$B$3))</f>
        <v/>
      </c>
      <c r="E110" s="38">
        <f>IF(($K$7+51)&gt;$L$7,"",SUMIFS('Данные'!$E:$E,'Данные'!$A:$A,"&gt;="&amp;($K$7+51),'Данные'!$A:$A,"&lt;"&amp;($K$7+51)+1,'Данные'!$B:$B,$B$3))</f>
        <v/>
      </c>
      <c r="F110" s="39">
        <f>IF(($K$7+51)&gt;$L$7,"",IFERROR(E110/D110,""))</f>
        <v/>
      </c>
      <c r="G110" s="40">
        <f>IF(($K$7+51)&gt;$L$7,"",IFERROR(B110/E110,""))</f>
        <v/>
      </c>
      <c r="H110" s="38">
        <f>IF(($K$7+51)&gt;$L$7,"",SUMIFS('Данные'!$F:$F,'Данные'!$A:$A,"&gt;="&amp;($K$7+51),'Данные'!$A:$A,"&lt;"&amp;($K$7+51)+1,'Данные'!$B:$B,$B$3))</f>
        <v/>
      </c>
      <c r="I110" s="40">
        <f>IF(($K$7+51)&gt;$L$7,"",IFERROR(B110/H110,""))</f>
        <v/>
      </c>
      <c r="J110" s="41">
        <f>IF(($K$7+51)&gt;$L$7,"",IFERROR(H110/E110,""))</f>
        <v/>
      </c>
    </row>
    <row r="111">
      <c r="A111" s="29">
        <f>IF(($K$7+52)&gt;$L$7,"",TEXT(($K$7+52),"DD.MM")&amp;" "&amp;CHOOSE(WEEKDAY(($K$7+52),2),"пн","вт","ср","чт","пт","сб","вс"))</f>
        <v/>
      </c>
      <c r="B111" s="30">
        <f>IF(($K$7+52)&gt;$L$7,"",SUMIFS('Данные'!$C:$C,'Данные'!$A:$A,"&gt;="&amp;($K$7+52),'Данные'!$A:$A,"&lt;"&amp;($K$7+52)+1,'Данные'!$B:$B,$B$3))</f>
        <v/>
      </c>
      <c r="C111" s="30">
        <f>IF(($K$7+52)&gt;$L$7,"",B111*(100+22)/100)</f>
        <v/>
      </c>
      <c r="D111" s="31">
        <f>IF(($K$7+52)&gt;$L$7,"",SUMIFS('Данные'!$D:$D,'Данные'!$A:$A,"&gt;="&amp;($K$7+52),'Данные'!$A:$A,"&lt;"&amp;($K$7+52)+1,'Данные'!$B:$B,$B$3))</f>
        <v/>
      </c>
      <c r="E111" s="31">
        <f>IF(($K$7+52)&gt;$L$7,"",SUMIFS('Данные'!$E:$E,'Данные'!$A:$A,"&gt;="&amp;($K$7+52),'Данные'!$A:$A,"&lt;"&amp;($K$7+52)+1,'Данные'!$B:$B,$B$3))</f>
        <v/>
      </c>
      <c r="F111" s="32">
        <f>IF(($K$7+52)&gt;$L$7,"",IFERROR(E111/D111,""))</f>
        <v/>
      </c>
      <c r="G111" s="33">
        <f>IF(($K$7+52)&gt;$L$7,"",IFERROR(B111/E111,""))</f>
        <v/>
      </c>
      <c r="H111" s="31">
        <f>IF(($K$7+52)&gt;$L$7,"",SUMIFS('Данные'!$F:$F,'Данные'!$A:$A,"&gt;="&amp;($K$7+52),'Данные'!$A:$A,"&lt;"&amp;($K$7+52)+1,'Данные'!$B:$B,$B$3))</f>
        <v/>
      </c>
      <c r="I111" s="33">
        <f>IF(($K$7+52)&gt;$L$7,"",IFERROR(B111/H111,""))</f>
        <v/>
      </c>
      <c r="J111" s="34">
        <f>IF(($K$7+52)&gt;$L$7,"",IFERROR(H111/E111,""))</f>
        <v/>
      </c>
    </row>
    <row r="112">
      <c r="A112" s="36">
        <f>IF(($K$7+53)&gt;$L$7,"",TEXT(($K$7+53),"DD.MM")&amp;" "&amp;CHOOSE(WEEKDAY(($K$7+53),2),"пн","вт","ср","чт","пт","сб","вс"))</f>
        <v/>
      </c>
      <c r="B112" s="37">
        <f>IF(($K$7+53)&gt;$L$7,"",SUMIFS('Данные'!$C:$C,'Данные'!$A:$A,"&gt;="&amp;($K$7+53),'Данные'!$A:$A,"&lt;"&amp;($K$7+53)+1,'Данные'!$B:$B,$B$3))</f>
        <v/>
      </c>
      <c r="C112" s="37">
        <f>IF(($K$7+53)&gt;$L$7,"",B112*(100+22)/100)</f>
        <v/>
      </c>
      <c r="D112" s="38">
        <f>IF(($K$7+53)&gt;$L$7,"",SUMIFS('Данные'!$D:$D,'Данные'!$A:$A,"&gt;="&amp;($K$7+53),'Данные'!$A:$A,"&lt;"&amp;($K$7+53)+1,'Данные'!$B:$B,$B$3))</f>
        <v/>
      </c>
      <c r="E112" s="38">
        <f>IF(($K$7+53)&gt;$L$7,"",SUMIFS('Данные'!$E:$E,'Данные'!$A:$A,"&gt;="&amp;($K$7+53),'Данные'!$A:$A,"&lt;"&amp;($K$7+53)+1,'Данные'!$B:$B,$B$3))</f>
        <v/>
      </c>
      <c r="F112" s="39">
        <f>IF(($K$7+53)&gt;$L$7,"",IFERROR(E112/D112,""))</f>
        <v/>
      </c>
      <c r="G112" s="40">
        <f>IF(($K$7+53)&gt;$L$7,"",IFERROR(B112/E112,""))</f>
        <v/>
      </c>
      <c r="H112" s="38">
        <f>IF(($K$7+53)&gt;$L$7,"",SUMIFS('Данные'!$F:$F,'Данные'!$A:$A,"&gt;="&amp;($K$7+53),'Данные'!$A:$A,"&lt;"&amp;($K$7+53)+1,'Данные'!$B:$B,$B$3))</f>
        <v/>
      </c>
      <c r="I112" s="40">
        <f>IF(($K$7+53)&gt;$L$7,"",IFERROR(B112/H112,""))</f>
        <v/>
      </c>
      <c r="J112" s="41">
        <f>IF(($K$7+53)&gt;$L$7,"",IFERROR(H112/E112,""))</f>
        <v/>
      </c>
    </row>
    <row r="113">
      <c r="A113" s="29">
        <f>IF(($K$7+54)&gt;$L$7,"",TEXT(($K$7+54),"DD.MM")&amp;" "&amp;CHOOSE(WEEKDAY(($K$7+54),2),"пн","вт","ср","чт","пт","сб","вс"))</f>
        <v/>
      </c>
      <c r="B113" s="30">
        <f>IF(($K$7+54)&gt;$L$7,"",SUMIFS('Данные'!$C:$C,'Данные'!$A:$A,"&gt;="&amp;($K$7+54),'Данные'!$A:$A,"&lt;"&amp;($K$7+54)+1,'Данные'!$B:$B,$B$3))</f>
        <v/>
      </c>
      <c r="C113" s="30">
        <f>IF(($K$7+54)&gt;$L$7,"",B113*(100+22)/100)</f>
        <v/>
      </c>
      <c r="D113" s="31">
        <f>IF(($K$7+54)&gt;$L$7,"",SUMIFS('Данные'!$D:$D,'Данные'!$A:$A,"&gt;="&amp;($K$7+54),'Данные'!$A:$A,"&lt;"&amp;($K$7+54)+1,'Данные'!$B:$B,$B$3))</f>
        <v/>
      </c>
      <c r="E113" s="31">
        <f>IF(($K$7+54)&gt;$L$7,"",SUMIFS('Данные'!$E:$E,'Данные'!$A:$A,"&gt;="&amp;($K$7+54),'Данные'!$A:$A,"&lt;"&amp;($K$7+54)+1,'Данные'!$B:$B,$B$3))</f>
        <v/>
      </c>
      <c r="F113" s="32">
        <f>IF(($K$7+54)&gt;$L$7,"",IFERROR(E113/D113,""))</f>
        <v/>
      </c>
      <c r="G113" s="33">
        <f>IF(($K$7+54)&gt;$L$7,"",IFERROR(B113/E113,""))</f>
        <v/>
      </c>
      <c r="H113" s="31">
        <f>IF(($K$7+54)&gt;$L$7,"",SUMIFS('Данные'!$F:$F,'Данные'!$A:$A,"&gt;="&amp;($K$7+54),'Данные'!$A:$A,"&lt;"&amp;($K$7+54)+1,'Данные'!$B:$B,$B$3))</f>
        <v/>
      </c>
      <c r="I113" s="33">
        <f>IF(($K$7+54)&gt;$L$7,"",IFERROR(B113/H113,""))</f>
        <v/>
      </c>
      <c r="J113" s="34">
        <f>IF(($K$7+54)&gt;$L$7,"",IFERROR(H113/E113,""))</f>
        <v/>
      </c>
    </row>
    <row r="114">
      <c r="A114" s="36">
        <f>IF(($K$7+55)&gt;$L$7,"",TEXT(($K$7+55),"DD.MM")&amp;" "&amp;CHOOSE(WEEKDAY(($K$7+55),2),"пн","вт","ср","чт","пт","сб","вс"))</f>
        <v/>
      </c>
      <c r="B114" s="37">
        <f>IF(($K$7+55)&gt;$L$7,"",SUMIFS('Данные'!$C:$C,'Данные'!$A:$A,"&gt;="&amp;($K$7+55),'Данные'!$A:$A,"&lt;"&amp;($K$7+55)+1,'Данные'!$B:$B,$B$3))</f>
        <v/>
      </c>
      <c r="C114" s="37">
        <f>IF(($K$7+55)&gt;$L$7,"",B114*(100+22)/100)</f>
        <v/>
      </c>
      <c r="D114" s="38">
        <f>IF(($K$7+55)&gt;$L$7,"",SUMIFS('Данные'!$D:$D,'Данные'!$A:$A,"&gt;="&amp;($K$7+55),'Данные'!$A:$A,"&lt;"&amp;($K$7+55)+1,'Данные'!$B:$B,$B$3))</f>
        <v/>
      </c>
      <c r="E114" s="38">
        <f>IF(($K$7+55)&gt;$L$7,"",SUMIFS('Данные'!$E:$E,'Данные'!$A:$A,"&gt;="&amp;($K$7+55),'Данные'!$A:$A,"&lt;"&amp;($K$7+55)+1,'Данные'!$B:$B,$B$3))</f>
        <v/>
      </c>
      <c r="F114" s="39">
        <f>IF(($K$7+55)&gt;$L$7,"",IFERROR(E114/D114,""))</f>
        <v/>
      </c>
      <c r="G114" s="40">
        <f>IF(($K$7+55)&gt;$L$7,"",IFERROR(B114/E114,""))</f>
        <v/>
      </c>
      <c r="H114" s="38">
        <f>IF(($K$7+55)&gt;$L$7,"",SUMIFS('Данные'!$F:$F,'Данные'!$A:$A,"&gt;="&amp;($K$7+55),'Данные'!$A:$A,"&lt;"&amp;($K$7+55)+1,'Данные'!$B:$B,$B$3))</f>
        <v/>
      </c>
      <c r="I114" s="40">
        <f>IF(($K$7+55)&gt;$L$7,"",IFERROR(B114/H114,""))</f>
        <v/>
      </c>
      <c r="J114" s="41">
        <f>IF(($K$7+55)&gt;$L$7,"",IFERROR(H114/E114,""))</f>
        <v/>
      </c>
    </row>
    <row r="115">
      <c r="A115" s="29">
        <f>IF(($K$7+56)&gt;$L$7,"",TEXT(($K$7+56),"DD.MM")&amp;" "&amp;CHOOSE(WEEKDAY(($K$7+56),2),"пн","вт","ср","чт","пт","сб","вс"))</f>
        <v/>
      </c>
      <c r="B115" s="30">
        <f>IF(($K$7+56)&gt;$L$7,"",SUMIFS('Данные'!$C:$C,'Данные'!$A:$A,"&gt;="&amp;($K$7+56),'Данные'!$A:$A,"&lt;"&amp;($K$7+56)+1,'Данные'!$B:$B,$B$3))</f>
        <v/>
      </c>
      <c r="C115" s="30">
        <f>IF(($K$7+56)&gt;$L$7,"",B115*(100+22)/100)</f>
        <v/>
      </c>
      <c r="D115" s="31">
        <f>IF(($K$7+56)&gt;$L$7,"",SUMIFS('Данные'!$D:$D,'Данные'!$A:$A,"&gt;="&amp;($K$7+56),'Данные'!$A:$A,"&lt;"&amp;($K$7+56)+1,'Данные'!$B:$B,$B$3))</f>
        <v/>
      </c>
      <c r="E115" s="31">
        <f>IF(($K$7+56)&gt;$L$7,"",SUMIFS('Данные'!$E:$E,'Данные'!$A:$A,"&gt;="&amp;($K$7+56),'Данные'!$A:$A,"&lt;"&amp;($K$7+56)+1,'Данные'!$B:$B,$B$3))</f>
        <v/>
      </c>
      <c r="F115" s="32">
        <f>IF(($K$7+56)&gt;$L$7,"",IFERROR(E115/D115,""))</f>
        <v/>
      </c>
      <c r="G115" s="33">
        <f>IF(($K$7+56)&gt;$L$7,"",IFERROR(B115/E115,""))</f>
        <v/>
      </c>
      <c r="H115" s="31">
        <f>IF(($K$7+56)&gt;$L$7,"",SUMIFS('Данные'!$F:$F,'Данные'!$A:$A,"&gt;="&amp;($K$7+56),'Данные'!$A:$A,"&lt;"&amp;($K$7+56)+1,'Данные'!$B:$B,$B$3))</f>
        <v/>
      </c>
      <c r="I115" s="33">
        <f>IF(($K$7+56)&gt;$L$7,"",IFERROR(B115/H115,""))</f>
        <v/>
      </c>
      <c r="J115" s="34">
        <f>IF(($K$7+56)&gt;$L$7,"",IFERROR(H115/E115,""))</f>
        <v/>
      </c>
    </row>
    <row r="116">
      <c r="A116" s="36">
        <f>IF(($K$7+57)&gt;$L$7,"",TEXT(($K$7+57),"DD.MM")&amp;" "&amp;CHOOSE(WEEKDAY(($K$7+57),2),"пн","вт","ср","чт","пт","сб","вс"))</f>
        <v/>
      </c>
      <c r="B116" s="37">
        <f>IF(($K$7+57)&gt;$L$7,"",SUMIFS('Данные'!$C:$C,'Данные'!$A:$A,"&gt;="&amp;($K$7+57),'Данные'!$A:$A,"&lt;"&amp;($K$7+57)+1,'Данные'!$B:$B,$B$3))</f>
        <v/>
      </c>
      <c r="C116" s="37">
        <f>IF(($K$7+57)&gt;$L$7,"",B116*(100+22)/100)</f>
        <v/>
      </c>
      <c r="D116" s="38">
        <f>IF(($K$7+57)&gt;$L$7,"",SUMIFS('Данные'!$D:$D,'Данные'!$A:$A,"&gt;="&amp;($K$7+57),'Данные'!$A:$A,"&lt;"&amp;($K$7+57)+1,'Данные'!$B:$B,$B$3))</f>
        <v/>
      </c>
      <c r="E116" s="38">
        <f>IF(($K$7+57)&gt;$L$7,"",SUMIFS('Данные'!$E:$E,'Данные'!$A:$A,"&gt;="&amp;($K$7+57),'Данные'!$A:$A,"&lt;"&amp;($K$7+57)+1,'Данные'!$B:$B,$B$3))</f>
        <v/>
      </c>
      <c r="F116" s="39">
        <f>IF(($K$7+57)&gt;$L$7,"",IFERROR(E116/D116,""))</f>
        <v/>
      </c>
      <c r="G116" s="40">
        <f>IF(($K$7+57)&gt;$L$7,"",IFERROR(B116/E116,""))</f>
        <v/>
      </c>
      <c r="H116" s="38">
        <f>IF(($K$7+57)&gt;$L$7,"",SUMIFS('Данные'!$F:$F,'Данные'!$A:$A,"&gt;="&amp;($K$7+57),'Данные'!$A:$A,"&lt;"&amp;($K$7+57)+1,'Данные'!$B:$B,$B$3))</f>
        <v/>
      </c>
      <c r="I116" s="40">
        <f>IF(($K$7+57)&gt;$L$7,"",IFERROR(B116/H116,""))</f>
        <v/>
      </c>
      <c r="J116" s="41">
        <f>IF(($K$7+57)&gt;$L$7,"",IFERROR(H116/E116,""))</f>
        <v/>
      </c>
    </row>
    <row r="117">
      <c r="A117" s="29">
        <f>IF(($K$7+58)&gt;$L$7,"",TEXT(($K$7+58),"DD.MM")&amp;" "&amp;CHOOSE(WEEKDAY(($K$7+58),2),"пн","вт","ср","чт","пт","сб","вс"))</f>
        <v/>
      </c>
      <c r="B117" s="30">
        <f>IF(($K$7+58)&gt;$L$7,"",SUMIFS('Данные'!$C:$C,'Данные'!$A:$A,"&gt;="&amp;($K$7+58),'Данные'!$A:$A,"&lt;"&amp;($K$7+58)+1,'Данные'!$B:$B,$B$3))</f>
        <v/>
      </c>
      <c r="C117" s="30">
        <f>IF(($K$7+58)&gt;$L$7,"",B117*(100+22)/100)</f>
        <v/>
      </c>
      <c r="D117" s="31">
        <f>IF(($K$7+58)&gt;$L$7,"",SUMIFS('Данные'!$D:$D,'Данные'!$A:$A,"&gt;="&amp;($K$7+58),'Данные'!$A:$A,"&lt;"&amp;($K$7+58)+1,'Данные'!$B:$B,$B$3))</f>
        <v/>
      </c>
      <c r="E117" s="31">
        <f>IF(($K$7+58)&gt;$L$7,"",SUMIFS('Данные'!$E:$E,'Данные'!$A:$A,"&gt;="&amp;($K$7+58),'Данные'!$A:$A,"&lt;"&amp;($K$7+58)+1,'Данные'!$B:$B,$B$3))</f>
        <v/>
      </c>
      <c r="F117" s="32">
        <f>IF(($K$7+58)&gt;$L$7,"",IFERROR(E117/D117,""))</f>
        <v/>
      </c>
      <c r="G117" s="33">
        <f>IF(($K$7+58)&gt;$L$7,"",IFERROR(B117/E117,""))</f>
        <v/>
      </c>
      <c r="H117" s="31">
        <f>IF(($K$7+58)&gt;$L$7,"",SUMIFS('Данные'!$F:$F,'Данные'!$A:$A,"&gt;="&amp;($K$7+58),'Данные'!$A:$A,"&lt;"&amp;($K$7+58)+1,'Данные'!$B:$B,$B$3))</f>
        <v/>
      </c>
      <c r="I117" s="33">
        <f>IF(($K$7+58)&gt;$L$7,"",IFERROR(B117/H117,""))</f>
        <v/>
      </c>
      <c r="J117" s="34">
        <f>IF(($K$7+58)&gt;$L$7,"",IFERROR(H117/E117,""))</f>
        <v/>
      </c>
    </row>
    <row r="118">
      <c r="A118" s="36">
        <f>IF(($K$7+59)&gt;$L$7,"",TEXT(($K$7+59),"DD.MM")&amp;" "&amp;CHOOSE(WEEKDAY(($K$7+59),2),"пн","вт","ср","чт","пт","сб","вс"))</f>
        <v/>
      </c>
      <c r="B118" s="37">
        <f>IF(($K$7+59)&gt;$L$7,"",SUMIFS('Данные'!$C:$C,'Данные'!$A:$A,"&gt;="&amp;($K$7+59),'Данные'!$A:$A,"&lt;"&amp;($K$7+59)+1,'Данные'!$B:$B,$B$3))</f>
        <v/>
      </c>
      <c r="C118" s="37">
        <f>IF(($K$7+59)&gt;$L$7,"",B118*(100+22)/100)</f>
        <v/>
      </c>
      <c r="D118" s="38">
        <f>IF(($K$7+59)&gt;$L$7,"",SUMIFS('Данные'!$D:$D,'Данные'!$A:$A,"&gt;="&amp;($K$7+59),'Данные'!$A:$A,"&lt;"&amp;($K$7+59)+1,'Данные'!$B:$B,$B$3))</f>
        <v/>
      </c>
      <c r="E118" s="38">
        <f>IF(($K$7+59)&gt;$L$7,"",SUMIFS('Данные'!$E:$E,'Данные'!$A:$A,"&gt;="&amp;($K$7+59),'Данные'!$A:$A,"&lt;"&amp;($K$7+59)+1,'Данные'!$B:$B,$B$3))</f>
        <v/>
      </c>
      <c r="F118" s="39">
        <f>IF(($K$7+59)&gt;$L$7,"",IFERROR(E118/D118,""))</f>
        <v/>
      </c>
      <c r="G118" s="40">
        <f>IF(($K$7+59)&gt;$L$7,"",IFERROR(B118/E118,""))</f>
        <v/>
      </c>
      <c r="H118" s="38">
        <f>IF(($K$7+59)&gt;$L$7,"",SUMIFS('Данные'!$F:$F,'Данные'!$A:$A,"&gt;="&amp;($K$7+59),'Данные'!$A:$A,"&lt;"&amp;($K$7+59)+1,'Данные'!$B:$B,$B$3))</f>
        <v/>
      </c>
      <c r="I118" s="40">
        <f>IF(($K$7+59)&gt;$L$7,"",IFERROR(B118/H118,""))</f>
        <v/>
      </c>
      <c r="J118" s="41">
        <f>IF(($K$7+59)&gt;$L$7,"",IFERROR(H118/E118,""))</f>
        <v/>
      </c>
    </row>
    <row r="119">
      <c r="A119" s="29">
        <f>IF(($K$7+60)&gt;$L$7,"",TEXT(($K$7+60),"DD.MM")&amp;" "&amp;CHOOSE(WEEKDAY(($K$7+60),2),"пн","вт","ср","чт","пт","сб","вс"))</f>
        <v/>
      </c>
      <c r="B119" s="30">
        <f>IF(($K$7+60)&gt;$L$7,"",SUMIFS('Данные'!$C:$C,'Данные'!$A:$A,"&gt;="&amp;($K$7+60),'Данные'!$A:$A,"&lt;"&amp;($K$7+60)+1,'Данные'!$B:$B,$B$3))</f>
        <v/>
      </c>
      <c r="C119" s="30">
        <f>IF(($K$7+60)&gt;$L$7,"",B119*(100+22)/100)</f>
        <v/>
      </c>
      <c r="D119" s="31">
        <f>IF(($K$7+60)&gt;$L$7,"",SUMIFS('Данные'!$D:$D,'Данные'!$A:$A,"&gt;="&amp;($K$7+60),'Данные'!$A:$A,"&lt;"&amp;($K$7+60)+1,'Данные'!$B:$B,$B$3))</f>
        <v/>
      </c>
      <c r="E119" s="31">
        <f>IF(($K$7+60)&gt;$L$7,"",SUMIFS('Данные'!$E:$E,'Данные'!$A:$A,"&gt;="&amp;($K$7+60),'Данные'!$A:$A,"&lt;"&amp;($K$7+60)+1,'Данные'!$B:$B,$B$3))</f>
        <v/>
      </c>
      <c r="F119" s="32">
        <f>IF(($K$7+60)&gt;$L$7,"",IFERROR(E119/D119,""))</f>
        <v/>
      </c>
      <c r="G119" s="33">
        <f>IF(($K$7+60)&gt;$L$7,"",IFERROR(B119/E119,""))</f>
        <v/>
      </c>
      <c r="H119" s="31">
        <f>IF(($K$7+60)&gt;$L$7,"",SUMIFS('Данные'!$F:$F,'Данные'!$A:$A,"&gt;="&amp;($K$7+60),'Данные'!$A:$A,"&lt;"&amp;($K$7+60)+1,'Данные'!$B:$B,$B$3))</f>
        <v/>
      </c>
      <c r="I119" s="33">
        <f>IF(($K$7+60)&gt;$L$7,"",IFERROR(B119/H119,""))</f>
        <v/>
      </c>
      <c r="J119" s="34">
        <f>IF(($K$7+60)&gt;$L$7,"",IFERROR(H119/E119,""))</f>
        <v/>
      </c>
    </row>
    <row r="120">
      <c r="A120" s="36">
        <f>IF(($K$7+61)&gt;$L$7,"",TEXT(($K$7+61),"DD.MM")&amp;" "&amp;CHOOSE(WEEKDAY(($K$7+61),2),"пн","вт","ср","чт","пт","сб","вс"))</f>
        <v/>
      </c>
      <c r="B120" s="37">
        <f>IF(($K$7+61)&gt;$L$7,"",SUMIFS('Данные'!$C:$C,'Данные'!$A:$A,"&gt;="&amp;($K$7+61),'Данные'!$A:$A,"&lt;"&amp;($K$7+61)+1,'Данные'!$B:$B,$B$3))</f>
        <v/>
      </c>
      <c r="C120" s="37">
        <f>IF(($K$7+61)&gt;$L$7,"",B120*(100+22)/100)</f>
        <v/>
      </c>
      <c r="D120" s="38">
        <f>IF(($K$7+61)&gt;$L$7,"",SUMIFS('Данные'!$D:$D,'Данные'!$A:$A,"&gt;="&amp;($K$7+61),'Данные'!$A:$A,"&lt;"&amp;($K$7+61)+1,'Данные'!$B:$B,$B$3))</f>
        <v/>
      </c>
      <c r="E120" s="38">
        <f>IF(($K$7+61)&gt;$L$7,"",SUMIFS('Данные'!$E:$E,'Данные'!$A:$A,"&gt;="&amp;($K$7+61),'Данные'!$A:$A,"&lt;"&amp;($K$7+61)+1,'Данные'!$B:$B,$B$3))</f>
        <v/>
      </c>
      <c r="F120" s="39">
        <f>IF(($K$7+61)&gt;$L$7,"",IFERROR(E120/D120,""))</f>
        <v/>
      </c>
      <c r="G120" s="40">
        <f>IF(($K$7+61)&gt;$L$7,"",IFERROR(B120/E120,""))</f>
        <v/>
      </c>
      <c r="H120" s="38">
        <f>IF(($K$7+61)&gt;$L$7,"",SUMIFS('Данные'!$F:$F,'Данные'!$A:$A,"&gt;="&amp;($K$7+61),'Данные'!$A:$A,"&lt;"&amp;($K$7+61)+1,'Данные'!$B:$B,$B$3))</f>
        <v/>
      </c>
      <c r="I120" s="40">
        <f>IF(($K$7+61)&gt;$L$7,"",IFERROR(B120/H120,""))</f>
        <v/>
      </c>
      <c r="J120" s="41">
        <f>IF(($K$7+61)&gt;$L$7,"",IFERROR(H120/E120,""))</f>
        <v/>
      </c>
    </row>
    <row r="121">
      <c r="A121" s="29">
        <f>IF(($K$7+62)&gt;$L$7,"",TEXT(($K$7+62),"DD.MM")&amp;" "&amp;CHOOSE(WEEKDAY(($K$7+62),2),"пн","вт","ср","чт","пт","сб","вс"))</f>
        <v/>
      </c>
      <c r="B121" s="30">
        <f>IF(($K$7+62)&gt;$L$7,"",SUMIFS('Данные'!$C:$C,'Данные'!$A:$A,"&gt;="&amp;($K$7+62),'Данные'!$A:$A,"&lt;"&amp;($K$7+62)+1,'Данные'!$B:$B,$B$3))</f>
        <v/>
      </c>
      <c r="C121" s="30">
        <f>IF(($K$7+62)&gt;$L$7,"",B121*(100+22)/100)</f>
        <v/>
      </c>
      <c r="D121" s="31">
        <f>IF(($K$7+62)&gt;$L$7,"",SUMIFS('Данные'!$D:$D,'Данные'!$A:$A,"&gt;="&amp;($K$7+62),'Данные'!$A:$A,"&lt;"&amp;($K$7+62)+1,'Данные'!$B:$B,$B$3))</f>
        <v/>
      </c>
      <c r="E121" s="31">
        <f>IF(($K$7+62)&gt;$L$7,"",SUMIFS('Данные'!$E:$E,'Данные'!$A:$A,"&gt;="&amp;($K$7+62),'Данные'!$A:$A,"&lt;"&amp;($K$7+62)+1,'Данные'!$B:$B,$B$3))</f>
        <v/>
      </c>
      <c r="F121" s="32">
        <f>IF(($K$7+62)&gt;$L$7,"",IFERROR(E121/D121,""))</f>
        <v/>
      </c>
      <c r="G121" s="33">
        <f>IF(($K$7+62)&gt;$L$7,"",IFERROR(B121/E121,""))</f>
        <v/>
      </c>
      <c r="H121" s="31">
        <f>IF(($K$7+62)&gt;$L$7,"",SUMIFS('Данные'!$F:$F,'Данные'!$A:$A,"&gt;="&amp;($K$7+62),'Данные'!$A:$A,"&lt;"&amp;($K$7+62)+1,'Данные'!$B:$B,$B$3))</f>
        <v/>
      </c>
      <c r="I121" s="33">
        <f>IF(($K$7+62)&gt;$L$7,"",IFERROR(B121/H121,""))</f>
        <v/>
      </c>
      <c r="J121" s="34">
        <f>IF(($K$7+62)&gt;$L$7,"",IFERROR(H121/E121,""))</f>
        <v/>
      </c>
    </row>
    <row r="122">
      <c r="A122" s="36">
        <f>IF(($K$7+63)&gt;$L$7,"",TEXT(($K$7+63),"DD.MM")&amp;" "&amp;CHOOSE(WEEKDAY(($K$7+63),2),"пн","вт","ср","чт","пт","сб","вс"))</f>
        <v/>
      </c>
      <c r="B122" s="37">
        <f>IF(($K$7+63)&gt;$L$7,"",SUMIFS('Данные'!$C:$C,'Данные'!$A:$A,"&gt;="&amp;($K$7+63),'Данные'!$A:$A,"&lt;"&amp;($K$7+63)+1,'Данные'!$B:$B,$B$3))</f>
        <v/>
      </c>
      <c r="C122" s="37">
        <f>IF(($K$7+63)&gt;$L$7,"",B122*(100+22)/100)</f>
        <v/>
      </c>
      <c r="D122" s="38">
        <f>IF(($K$7+63)&gt;$L$7,"",SUMIFS('Данные'!$D:$D,'Данные'!$A:$A,"&gt;="&amp;($K$7+63),'Данные'!$A:$A,"&lt;"&amp;($K$7+63)+1,'Данные'!$B:$B,$B$3))</f>
        <v/>
      </c>
      <c r="E122" s="38">
        <f>IF(($K$7+63)&gt;$L$7,"",SUMIFS('Данные'!$E:$E,'Данные'!$A:$A,"&gt;="&amp;($K$7+63),'Данные'!$A:$A,"&lt;"&amp;($K$7+63)+1,'Данные'!$B:$B,$B$3))</f>
        <v/>
      </c>
      <c r="F122" s="39">
        <f>IF(($K$7+63)&gt;$L$7,"",IFERROR(E122/D122,""))</f>
        <v/>
      </c>
      <c r="G122" s="40">
        <f>IF(($K$7+63)&gt;$L$7,"",IFERROR(B122/E122,""))</f>
        <v/>
      </c>
      <c r="H122" s="38">
        <f>IF(($K$7+63)&gt;$L$7,"",SUMIFS('Данные'!$F:$F,'Данные'!$A:$A,"&gt;="&amp;($K$7+63),'Данные'!$A:$A,"&lt;"&amp;($K$7+63)+1,'Данные'!$B:$B,$B$3))</f>
        <v/>
      </c>
      <c r="I122" s="40">
        <f>IF(($K$7+63)&gt;$L$7,"",IFERROR(B122/H122,""))</f>
        <v/>
      </c>
      <c r="J122" s="41">
        <f>IF(($K$7+63)&gt;$L$7,"",IFERROR(H122/E122,""))</f>
        <v/>
      </c>
    </row>
    <row r="123">
      <c r="A123" s="29">
        <f>IF(($K$7+64)&gt;$L$7,"",TEXT(($K$7+64),"DD.MM")&amp;" "&amp;CHOOSE(WEEKDAY(($K$7+64),2),"пн","вт","ср","чт","пт","сб","вс"))</f>
        <v/>
      </c>
      <c r="B123" s="30">
        <f>IF(($K$7+64)&gt;$L$7,"",SUMIFS('Данные'!$C:$C,'Данные'!$A:$A,"&gt;="&amp;($K$7+64),'Данные'!$A:$A,"&lt;"&amp;($K$7+64)+1,'Данные'!$B:$B,$B$3))</f>
        <v/>
      </c>
      <c r="C123" s="30">
        <f>IF(($K$7+64)&gt;$L$7,"",B123*(100+22)/100)</f>
        <v/>
      </c>
      <c r="D123" s="31">
        <f>IF(($K$7+64)&gt;$L$7,"",SUMIFS('Данные'!$D:$D,'Данные'!$A:$A,"&gt;="&amp;($K$7+64),'Данные'!$A:$A,"&lt;"&amp;($K$7+64)+1,'Данные'!$B:$B,$B$3))</f>
        <v/>
      </c>
      <c r="E123" s="31">
        <f>IF(($K$7+64)&gt;$L$7,"",SUMIFS('Данные'!$E:$E,'Данные'!$A:$A,"&gt;="&amp;($K$7+64),'Данные'!$A:$A,"&lt;"&amp;($K$7+64)+1,'Данные'!$B:$B,$B$3))</f>
        <v/>
      </c>
      <c r="F123" s="32">
        <f>IF(($K$7+64)&gt;$L$7,"",IFERROR(E123/D123,""))</f>
        <v/>
      </c>
      <c r="G123" s="33">
        <f>IF(($K$7+64)&gt;$L$7,"",IFERROR(B123/E123,""))</f>
        <v/>
      </c>
      <c r="H123" s="31">
        <f>IF(($K$7+64)&gt;$L$7,"",SUMIFS('Данные'!$F:$F,'Данные'!$A:$A,"&gt;="&amp;($K$7+64),'Данные'!$A:$A,"&lt;"&amp;($K$7+64)+1,'Данные'!$B:$B,$B$3))</f>
        <v/>
      </c>
      <c r="I123" s="33">
        <f>IF(($K$7+64)&gt;$L$7,"",IFERROR(B123/H123,""))</f>
        <v/>
      </c>
      <c r="J123" s="34">
        <f>IF(($K$7+64)&gt;$L$7,"",IFERROR(H123/E123,""))</f>
        <v/>
      </c>
    </row>
    <row r="124">
      <c r="A124" s="36">
        <f>IF(($K$7+65)&gt;$L$7,"",TEXT(($K$7+65),"DD.MM")&amp;" "&amp;CHOOSE(WEEKDAY(($K$7+65),2),"пн","вт","ср","чт","пт","сб","вс"))</f>
        <v/>
      </c>
      <c r="B124" s="37">
        <f>IF(($K$7+65)&gt;$L$7,"",SUMIFS('Данные'!$C:$C,'Данные'!$A:$A,"&gt;="&amp;($K$7+65),'Данные'!$A:$A,"&lt;"&amp;($K$7+65)+1,'Данные'!$B:$B,$B$3))</f>
        <v/>
      </c>
      <c r="C124" s="37">
        <f>IF(($K$7+65)&gt;$L$7,"",B124*(100+22)/100)</f>
        <v/>
      </c>
      <c r="D124" s="38">
        <f>IF(($K$7+65)&gt;$L$7,"",SUMIFS('Данные'!$D:$D,'Данные'!$A:$A,"&gt;="&amp;($K$7+65),'Данные'!$A:$A,"&lt;"&amp;($K$7+65)+1,'Данные'!$B:$B,$B$3))</f>
        <v/>
      </c>
      <c r="E124" s="38">
        <f>IF(($K$7+65)&gt;$L$7,"",SUMIFS('Данные'!$E:$E,'Данные'!$A:$A,"&gt;="&amp;($K$7+65),'Данные'!$A:$A,"&lt;"&amp;($K$7+65)+1,'Данные'!$B:$B,$B$3))</f>
        <v/>
      </c>
      <c r="F124" s="39">
        <f>IF(($K$7+65)&gt;$L$7,"",IFERROR(E124/D124,""))</f>
        <v/>
      </c>
      <c r="G124" s="40">
        <f>IF(($K$7+65)&gt;$L$7,"",IFERROR(B124/E124,""))</f>
        <v/>
      </c>
      <c r="H124" s="38">
        <f>IF(($K$7+65)&gt;$L$7,"",SUMIFS('Данные'!$F:$F,'Данные'!$A:$A,"&gt;="&amp;($K$7+65),'Данные'!$A:$A,"&lt;"&amp;($K$7+65)+1,'Данные'!$B:$B,$B$3))</f>
        <v/>
      </c>
      <c r="I124" s="40">
        <f>IF(($K$7+65)&gt;$L$7,"",IFERROR(B124/H124,""))</f>
        <v/>
      </c>
      <c r="J124" s="41">
        <f>IF(($K$7+65)&gt;$L$7,"",IFERROR(H124/E124,""))</f>
        <v/>
      </c>
    </row>
    <row r="125">
      <c r="A125" s="29">
        <f>IF(($K$7+66)&gt;$L$7,"",TEXT(($K$7+66),"DD.MM")&amp;" "&amp;CHOOSE(WEEKDAY(($K$7+66),2),"пн","вт","ср","чт","пт","сб","вс"))</f>
        <v/>
      </c>
      <c r="B125" s="30">
        <f>IF(($K$7+66)&gt;$L$7,"",SUMIFS('Данные'!$C:$C,'Данные'!$A:$A,"&gt;="&amp;($K$7+66),'Данные'!$A:$A,"&lt;"&amp;($K$7+66)+1,'Данные'!$B:$B,$B$3))</f>
        <v/>
      </c>
      <c r="C125" s="30">
        <f>IF(($K$7+66)&gt;$L$7,"",B125*(100+22)/100)</f>
        <v/>
      </c>
      <c r="D125" s="31">
        <f>IF(($K$7+66)&gt;$L$7,"",SUMIFS('Данные'!$D:$D,'Данные'!$A:$A,"&gt;="&amp;($K$7+66),'Данные'!$A:$A,"&lt;"&amp;($K$7+66)+1,'Данные'!$B:$B,$B$3))</f>
        <v/>
      </c>
      <c r="E125" s="31">
        <f>IF(($K$7+66)&gt;$L$7,"",SUMIFS('Данные'!$E:$E,'Данные'!$A:$A,"&gt;="&amp;($K$7+66),'Данные'!$A:$A,"&lt;"&amp;($K$7+66)+1,'Данные'!$B:$B,$B$3))</f>
        <v/>
      </c>
      <c r="F125" s="32">
        <f>IF(($K$7+66)&gt;$L$7,"",IFERROR(E125/D125,""))</f>
        <v/>
      </c>
      <c r="G125" s="33">
        <f>IF(($K$7+66)&gt;$L$7,"",IFERROR(B125/E125,""))</f>
        <v/>
      </c>
      <c r="H125" s="31">
        <f>IF(($K$7+66)&gt;$L$7,"",SUMIFS('Данные'!$F:$F,'Данные'!$A:$A,"&gt;="&amp;($K$7+66),'Данные'!$A:$A,"&lt;"&amp;($K$7+66)+1,'Данные'!$B:$B,$B$3))</f>
        <v/>
      </c>
      <c r="I125" s="33">
        <f>IF(($K$7+66)&gt;$L$7,"",IFERROR(B125/H125,""))</f>
        <v/>
      </c>
      <c r="J125" s="34">
        <f>IF(($K$7+66)&gt;$L$7,"",IFERROR(H125/E125,""))</f>
        <v/>
      </c>
    </row>
    <row r="126">
      <c r="A126" s="36">
        <f>IF(($K$7+67)&gt;$L$7,"",TEXT(($K$7+67),"DD.MM")&amp;" "&amp;CHOOSE(WEEKDAY(($K$7+67),2),"пн","вт","ср","чт","пт","сб","вс"))</f>
        <v/>
      </c>
      <c r="B126" s="37">
        <f>IF(($K$7+67)&gt;$L$7,"",SUMIFS('Данные'!$C:$C,'Данные'!$A:$A,"&gt;="&amp;($K$7+67),'Данные'!$A:$A,"&lt;"&amp;($K$7+67)+1,'Данные'!$B:$B,$B$3))</f>
        <v/>
      </c>
      <c r="C126" s="37">
        <f>IF(($K$7+67)&gt;$L$7,"",B126*(100+22)/100)</f>
        <v/>
      </c>
      <c r="D126" s="38">
        <f>IF(($K$7+67)&gt;$L$7,"",SUMIFS('Данные'!$D:$D,'Данные'!$A:$A,"&gt;="&amp;($K$7+67),'Данные'!$A:$A,"&lt;"&amp;($K$7+67)+1,'Данные'!$B:$B,$B$3))</f>
        <v/>
      </c>
      <c r="E126" s="38">
        <f>IF(($K$7+67)&gt;$L$7,"",SUMIFS('Данные'!$E:$E,'Данные'!$A:$A,"&gt;="&amp;($K$7+67),'Данные'!$A:$A,"&lt;"&amp;($K$7+67)+1,'Данные'!$B:$B,$B$3))</f>
        <v/>
      </c>
      <c r="F126" s="39">
        <f>IF(($K$7+67)&gt;$L$7,"",IFERROR(E126/D126,""))</f>
        <v/>
      </c>
      <c r="G126" s="40">
        <f>IF(($K$7+67)&gt;$L$7,"",IFERROR(B126/E126,""))</f>
        <v/>
      </c>
      <c r="H126" s="38">
        <f>IF(($K$7+67)&gt;$L$7,"",SUMIFS('Данные'!$F:$F,'Данные'!$A:$A,"&gt;="&amp;($K$7+67),'Данные'!$A:$A,"&lt;"&amp;($K$7+67)+1,'Данные'!$B:$B,$B$3))</f>
        <v/>
      </c>
      <c r="I126" s="40">
        <f>IF(($K$7+67)&gt;$L$7,"",IFERROR(B126/H126,""))</f>
        <v/>
      </c>
      <c r="J126" s="41">
        <f>IF(($K$7+67)&gt;$L$7,"",IFERROR(H126/E126,""))</f>
        <v/>
      </c>
    </row>
    <row r="127">
      <c r="A127" s="29">
        <f>IF(($K$7+68)&gt;$L$7,"",TEXT(($K$7+68),"DD.MM")&amp;" "&amp;CHOOSE(WEEKDAY(($K$7+68),2),"пн","вт","ср","чт","пт","сб","вс"))</f>
        <v/>
      </c>
      <c r="B127" s="30">
        <f>IF(($K$7+68)&gt;$L$7,"",SUMIFS('Данные'!$C:$C,'Данные'!$A:$A,"&gt;="&amp;($K$7+68),'Данные'!$A:$A,"&lt;"&amp;($K$7+68)+1,'Данные'!$B:$B,$B$3))</f>
        <v/>
      </c>
      <c r="C127" s="30">
        <f>IF(($K$7+68)&gt;$L$7,"",B127*(100+22)/100)</f>
        <v/>
      </c>
      <c r="D127" s="31">
        <f>IF(($K$7+68)&gt;$L$7,"",SUMIFS('Данные'!$D:$D,'Данные'!$A:$A,"&gt;="&amp;($K$7+68),'Данные'!$A:$A,"&lt;"&amp;($K$7+68)+1,'Данные'!$B:$B,$B$3))</f>
        <v/>
      </c>
      <c r="E127" s="31">
        <f>IF(($K$7+68)&gt;$L$7,"",SUMIFS('Данные'!$E:$E,'Данные'!$A:$A,"&gt;="&amp;($K$7+68),'Данные'!$A:$A,"&lt;"&amp;($K$7+68)+1,'Данные'!$B:$B,$B$3))</f>
        <v/>
      </c>
      <c r="F127" s="32">
        <f>IF(($K$7+68)&gt;$L$7,"",IFERROR(E127/D127,""))</f>
        <v/>
      </c>
      <c r="G127" s="33">
        <f>IF(($K$7+68)&gt;$L$7,"",IFERROR(B127/E127,""))</f>
        <v/>
      </c>
      <c r="H127" s="31">
        <f>IF(($K$7+68)&gt;$L$7,"",SUMIFS('Данные'!$F:$F,'Данные'!$A:$A,"&gt;="&amp;($K$7+68),'Данные'!$A:$A,"&lt;"&amp;($K$7+68)+1,'Данные'!$B:$B,$B$3))</f>
        <v/>
      </c>
      <c r="I127" s="33">
        <f>IF(($K$7+68)&gt;$L$7,"",IFERROR(B127/H127,""))</f>
        <v/>
      </c>
      <c r="J127" s="34">
        <f>IF(($K$7+68)&gt;$L$7,"",IFERROR(H127/E127,""))</f>
        <v/>
      </c>
    </row>
    <row r="128">
      <c r="A128" s="36">
        <f>IF(($K$7+69)&gt;$L$7,"",TEXT(($K$7+69),"DD.MM")&amp;" "&amp;CHOOSE(WEEKDAY(($K$7+69),2),"пн","вт","ср","чт","пт","сб","вс"))</f>
        <v/>
      </c>
      <c r="B128" s="37">
        <f>IF(($K$7+69)&gt;$L$7,"",SUMIFS('Данные'!$C:$C,'Данные'!$A:$A,"&gt;="&amp;($K$7+69),'Данные'!$A:$A,"&lt;"&amp;($K$7+69)+1,'Данные'!$B:$B,$B$3))</f>
        <v/>
      </c>
      <c r="C128" s="37">
        <f>IF(($K$7+69)&gt;$L$7,"",B128*(100+22)/100)</f>
        <v/>
      </c>
      <c r="D128" s="38">
        <f>IF(($K$7+69)&gt;$L$7,"",SUMIFS('Данные'!$D:$D,'Данные'!$A:$A,"&gt;="&amp;($K$7+69),'Данные'!$A:$A,"&lt;"&amp;($K$7+69)+1,'Данные'!$B:$B,$B$3))</f>
        <v/>
      </c>
      <c r="E128" s="38">
        <f>IF(($K$7+69)&gt;$L$7,"",SUMIFS('Данные'!$E:$E,'Данные'!$A:$A,"&gt;="&amp;($K$7+69),'Данные'!$A:$A,"&lt;"&amp;($K$7+69)+1,'Данные'!$B:$B,$B$3))</f>
        <v/>
      </c>
      <c r="F128" s="39">
        <f>IF(($K$7+69)&gt;$L$7,"",IFERROR(E128/D128,""))</f>
        <v/>
      </c>
      <c r="G128" s="40">
        <f>IF(($K$7+69)&gt;$L$7,"",IFERROR(B128/E128,""))</f>
        <v/>
      </c>
      <c r="H128" s="38">
        <f>IF(($K$7+69)&gt;$L$7,"",SUMIFS('Данные'!$F:$F,'Данные'!$A:$A,"&gt;="&amp;($K$7+69),'Данные'!$A:$A,"&lt;"&amp;($K$7+69)+1,'Данные'!$B:$B,$B$3))</f>
        <v/>
      </c>
      <c r="I128" s="40">
        <f>IF(($K$7+69)&gt;$L$7,"",IFERROR(B128/H128,""))</f>
        <v/>
      </c>
      <c r="J128" s="41">
        <f>IF(($K$7+69)&gt;$L$7,"",IFERROR(H128/E128,""))</f>
        <v/>
      </c>
    </row>
    <row r="129">
      <c r="A129" s="29">
        <f>IF(($K$7+70)&gt;$L$7,"",TEXT(($K$7+70),"DD.MM")&amp;" "&amp;CHOOSE(WEEKDAY(($K$7+70),2),"пн","вт","ср","чт","пт","сб","вс"))</f>
        <v/>
      </c>
      <c r="B129" s="30">
        <f>IF(($K$7+70)&gt;$L$7,"",SUMIFS('Данные'!$C:$C,'Данные'!$A:$A,"&gt;="&amp;($K$7+70),'Данные'!$A:$A,"&lt;"&amp;($K$7+70)+1,'Данные'!$B:$B,$B$3))</f>
        <v/>
      </c>
      <c r="C129" s="30">
        <f>IF(($K$7+70)&gt;$L$7,"",B129*(100+22)/100)</f>
        <v/>
      </c>
      <c r="D129" s="31">
        <f>IF(($K$7+70)&gt;$L$7,"",SUMIFS('Данные'!$D:$D,'Данные'!$A:$A,"&gt;="&amp;($K$7+70),'Данные'!$A:$A,"&lt;"&amp;($K$7+70)+1,'Данные'!$B:$B,$B$3))</f>
        <v/>
      </c>
      <c r="E129" s="31">
        <f>IF(($K$7+70)&gt;$L$7,"",SUMIFS('Данные'!$E:$E,'Данные'!$A:$A,"&gt;="&amp;($K$7+70),'Данные'!$A:$A,"&lt;"&amp;($K$7+70)+1,'Данные'!$B:$B,$B$3))</f>
        <v/>
      </c>
      <c r="F129" s="32">
        <f>IF(($K$7+70)&gt;$L$7,"",IFERROR(E129/D129,""))</f>
        <v/>
      </c>
      <c r="G129" s="33">
        <f>IF(($K$7+70)&gt;$L$7,"",IFERROR(B129/E129,""))</f>
        <v/>
      </c>
      <c r="H129" s="31">
        <f>IF(($K$7+70)&gt;$L$7,"",SUMIFS('Данные'!$F:$F,'Данные'!$A:$A,"&gt;="&amp;($K$7+70),'Данные'!$A:$A,"&lt;"&amp;($K$7+70)+1,'Данные'!$B:$B,$B$3))</f>
        <v/>
      </c>
      <c r="I129" s="33">
        <f>IF(($K$7+70)&gt;$L$7,"",IFERROR(B129/H129,""))</f>
        <v/>
      </c>
      <c r="J129" s="34">
        <f>IF(($K$7+70)&gt;$L$7,"",IFERROR(H129/E129,""))</f>
        <v/>
      </c>
    </row>
    <row r="130">
      <c r="A130" s="36">
        <f>IF(($K$7+71)&gt;$L$7,"",TEXT(($K$7+71),"DD.MM")&amp;" "&amp;CHOOSE(WEEKDAY(($K$7+71),2),"пн","вт","ср","чт","пт","сб","вс"))</f>
        <v/>
      </c>
      <c r="B130" s="37">
        <f>IF(($K$7+71)&gt;$L$7,"",SUMIFS('Данные'!$C:$C,'Данные'!$A:$A,"&gt;="&amp;($K$7+71),'Данные'!$A:$A,"&lt;"&amp;($K$7+71)+1,'Данные'!$B:$B,$B$3))</f>
        <v/>
      </c>
      <c r="C130" s="37">
        <f>IF(($K$7+71)&gt;$L$7,"",B130*(100+22)/100)</f>
        <v/>
      </c>
      <c r="D130" s="38">
        <f>IF(($K$7+71)&gt;$L$7,"",SUMIFS('Данные'!$D:$D,'Данные'!$A:$A,"&gt;="&amp;($K$7+71),'Данные'!$A:$A,"&lt;"&amp;($K$7+71)+1,'Данные'!$B:$B,$B$3))</f>
        <v/>
      </c>
      <c r="E130" s="38">
        <f>IF(($K$7+71)&gt;$L$7,"",SUMIFS('Данные'!$E:$E,'Данные'!$A:$A,"&gt;="&amp;($K$7+71),'Данные'!$A:$A,"&lt;"&amp;($K$7+71)+1,'Данные'!$B:$B,$B$3))</f>
        <v/>
      </c>
      <c r="F130" s="39">
        <f>IF(($K$7+71)&gt;$L$7,"",IFERROR(E130/D130,""))</f>
        <v/>
      </c>
      <c r="G130" s="40">
        <f>IF(($K$7+71)&gt;$L$7,"",IFERROR(B130/E130,""))</f>
        <v/>
      </c>
      <c r="H130" s="38">
        <f>IF(($K$7+71)&gt;$L$7,"",SUMIFS('Данные'!$F:$F,'Данные'!$A:$A,"&gt;="&amp;($K$7+71),'Данные'!$A:$A,"&lt;"&amp;($K$7+71)+1,'Данные'!$B:$B,$B$3))</f>
        <v/>
      </c>
      <c r="I130" s="40">
        <f>IF(($K$7+71)&gt;$L$7,"",IFERROR(B130/H130,""))</f>
        <v/>
      </c>
      <c r="J130" s="41">
        <f>IF(($K$7+71)&gt;$L$7,"",IFERROR(H130/E130,""))</f>
        <v/>
      </c>
    </row>
    <row r="131">
      <c r="A131" s="29">
        <f>IF(($K$7+72)&gt;$L$7,"",TEXT(($K$7+72),"DD.MM")&amp;" "&amp;CHOOSE(WEEKDAY(($K$7+72),2),"пн","вт","ср","чт","пт","сб","вс"))</f>
        <v/>
      </c>
      <c r="B131" s="30">
        <f>IF(($K$7+72)&gt;$L$7,"",SUMIFS('Данные'!$C:$C,'Данные'!$A:$A,"&gt;="&amp;($K$7+72),'Данные'!$A:$A,"&lt;"&amp;($K$7+72)+1,'Данные'!$B:$B,$B$3))</f>
        <v/>
      </c>
      <c r="C131" s="30">
        <f>IF(($K$7+72)&gt;$L$7,"",B131*(100+22)/100)</f>
        <v/>
      </c>
      <c r="D131" s="31">
        <f>IF(($K$7+72)&gt;$L$7,"",SUMIFS('Данные'!$D:$D,'Данные'!$A:$A,"&gt;="&amp;($K$7+72),'Данные'!$A:$A,"&lt;"&amp;($K$7+72)+1,'Данные'!$B:$B,$B$3))</f>
        <v/>
      </c>
      <c r="E131" s="31">
        <f>IF(($K$7+72)&gt;$L$7,"",SUMIFS('Данные'!$E:$E,'Данные'!$A:$A,"&gt;="&amp;($K$7+72),'Данные'!$A:$A,"&lt;"&amp;($K$7+72)+1,'Данные'!$B:$B,$B$3))</f>
        <v/>
      </c>
      <c r="F131" s="32">
        <f>IF(($K$7+72)&gt;$L$7,"",IFERROR(E131/D131,""))</f>
        <v/>
      </c>
      <c r="G131" s="33">
        <f>IF(($K$7+72)&gt;$L$7,"",IFERROR(B131/E131,""))</f>
        <v/>
      </c>
      <c r="H131" s="31">
        <f>IF(($K$7+72)&gt;$L$7,"",SUMIFS('Данные'!$F:$F,'Данные'!$A:$A,"&gt;="&amp;($K$7+72),'Данные'!$A:$A,"&lt;"&amp;($K$7+72)+1,'Данные'!$B:$B,$B$3))</f>
        <v/>
      </c>
      <c r="I131" s="33">
        <f>IF(($K$7+72)&gt;$L$7,"",IFERROR(B131/H131,""))</f>
        <v/>
      </c>
      <c r="J131" s="34">
        <f>IF(($K$7+72)&gt;$L$7,"",IFERROR(H131/E131,""))</f>
        <v/>
      </c>
    </row>
    <row r="132">
      <c r="A132" s="36">
        <f>IF(($K$7+73)&gt;$L$7,"",TEXT(($K$7+73),"DD.MM")&amp;" "&amp;CHOOSE(WEEKDAY(($K$7+73),2),"пн","вт","ср","чт","пт","сб","вс"))</f>
        <v/>
      </c>
      <c r="B132" s="37">
        <f>IF(($K$7+73)&gt;$L$7,"",SUMIFS('Данные'!$C:$C,'Данные'!$A:$A,"&gt;="&amp;($K$7+73),'Данные'!$A:$A,"&lt;"&amp;($K$7+73)+1,'Данные'!$B:$B,$B$3))</f>
        <v/>
      </c>
      <c r="C132" s="37">
        <f>IF(($K$7+73)&gt;$L$7,"",B132*(100+22)/100)</f>
        <v/>
      </c>
      <c r="D132" s="38">
        <f>IF(($K$7+73)&gt;$L$7,"",SUMIFS('Данные'!$D:$D,'Данные'!$A:$A,"&gt;="&amp;($K$7+73),'Данные'!$A:$A,"&lt;"&amp;($K$7+73)+1,'Данные'!$B:$B,$B$3))</f>
        <v/>
      </c>
      <c r="E132" s="38">
        <f>IF(($K$7+73)&gt;$L$7,"",SUMIFS('Данные'!$E:$E,'Данные'!$A:$A,"&gt;="&amp;($K$7+73),'Данные'!$A:$A,"&lt;"&amp;($K$7+73)+1,'Данные'!$B:$B,$B$3))</f>
        <v/>
      </c>
      <c r="F132" s="39">
        <f>IF(($K$7+73)&gt;$L$7,"",IFERROR(E132/D132,""))</f>
        <v/>
      </c>
      <c r="G132" s="40">
        <f>IF(($K$7+73)&gt;$L$7,"",IFERROR(B132/E132,""))</f>
        <v/>
      </c>
      <c r="H132" s="38">
        <f>IF(($K$7+73)&gt;$L$7,"",SUMIFS('Данные'!$F:$F,'Данные'!$A:$A,"&gt;="&amp;($K$7+73),'Данные'!$A:$A,"&lt;"&amp;($K$7+73)+1,'Данные'!$B:$B,$B$3))</f>
        <v/>
      </c>
      <c r="I132" s="40">
        <f>IF(($K$7+73)&gt;$L$7,"",IFERROR(B132/H132,""))</f>
        <v/>
      </c>
      <c r="J132" s="41">
        <f>IF(($K$7+73)&gt;$L$7,"",IFERROR(H132/E132,""))</f>
        <v/>
      </c>
    </row>
    <row r="133">
      <c r="A133" s="29">
        <f>IF(($K$7+74)&gt;$L$7,"",TEXT(($K$7+74),"DD.MM")&amp;" "&amp;CHOOSE(WEEKDAY(($K$7+74),2),"пн","вт","ср","чт","пт","сб","вс"))</f>
        <v/>
      </c>
      <c r="B133" s="30">
        <f>IF(($K$7+74)&gt;$L$7,"",SUMIFS('Данные'!$C:$C,'Данные'!$A:$A,"&gt;="&amp;($K$7+74),'Данные'!$A:$A,"&lt;"&amp;($K$7+74)+1,'Данные'!$B:$B,$B$3))</f>
        <v/>
      </c>
      <c r="C133" s="30">
        <f>IF(($K$7+74)&gt;$L$7,"",B133*(100+22)/100)</f>
        <v/>
      </c>
      <c r="D133" s="31">
        <f>IF(($K$7+74)&gt;$L$7,"",SUMIFS('Данные'!$D:$D,'Данные'!$A:$A,"&gt;="&amp;($K$7+74),'Данные'!$A:$A,"&lt;"&amp;($K$7+74)+1,'Данные'!$B:$B,$B$3))</f>
        <v/>
      </c>
      <c r="E133" s="31">
        <f>IF(($K$7+74)&gt;$L$7,"",SUMIFS('Данные'!$E:$E,'Данные'!$A:$A,"&gt;="&amp;($K$7+74),'Данные'!$A:$A,"&lt;"&amp;($K$7+74)+1,'Данные'!$B:$B,$B$3))</f>
        <v/>
      </c>
      <c r="F133" s="32">
        <f>IF(($K$7+74)&gt;$L$7,"",IFERROR(E133/D133,""))</f>
        <v/>
      </c>
      <c r="G133" s="33">
        <f>IF(($K$7+74)&gt;$L$7,"",IFERROR(B133/E133,""))</f>
        <v/>
      </c>
      <c r="H133" s="31">
        <f>IF(($K$7+74)&gt;$L$7,"",SUMIFS('Данные'!$F:$F,'Данные'!$A:$A,"&gt;="&amp;($K$7+74),'Данные'!$A:$A,"&lt;"&amp;($K$7+74)+1,'Данные'!$B:$B,$B$3))</f>
        <v/>
      </c>
      <c r="I133" s="33">
        <f>IF(($K$7+74)&gt;$L$7,"",IFERROR(B133/H133,""))</f>
        <v/>
      </c>
      <c r="J133" s="34">
        <f>IF(($K$7+74)&gt;$L$7,"",IFERROR(H133/E133,""))</f>
        <v/>
      </c>
    </row>
    <row r="134">
      <c r="A134" s="36">
        <f>IF(($K$7+75)&gt;$L$7,"",TEXT(($K$7+75),"DD.MM")&amp;" "&amp;CHOOSE(WEEKDAY(($K$7+75),2),"пн","вт","ср","чт","пт","сб","вс"))</f>
        <v/>
      </c>
      <c r="B134" s="37">
        <f>IF(($K$7+75)&gt;$L$7,"",SUMIFS('Данные'!$C:$C,'Данные'!$A:$A,"&gt;="&amp;($K$7+75),'Данные'!$A:$A,"&lt;"&amp;($K$7+75)+1,'Данные'!$B:$B,$B$3))</f>
        <v/>
      </c>
      <c r="C134" s="37">
        <f>IF(($K$7+75)&gt;$L$7,"",B134*(100+22)/100)</f>
        <v/>
      </c>
      <c r="D134" s="38">
        <f>IF(($K$7+75)&gt;$L$7,"",SUMIFS('Данные'!$D:$D,'Данные'!$A:$A,"&gt;="&amp;($K$7+75),'Данные'!$A:$A,"&lt;"&amp;($K$7+75)+1,'Данные'!$B:$B,$B$3))</f>
        <v/>
      </c>
      <c r="E134" s="38">
        <f>IF(($K$7+75)&gt;$L$7,"",SUMIFS('Данные'!$E:$E,'Данные'!$A:$A,"&gt;="&amp;($K$7+75),'Данные'!$A:$A,"&lt;"&amp;($K$7+75)+1,'Данные'!$B:$B,$B$3))</f>
        <v/>
      </c>
      <c r="F134" s="39">
        <f>IF(($K$7+75)&gt;$L$7,"",IFERROR(E134/D134,""))</f>
        <v/>
      </c>
      <c r="G134" s="40">
        <f>IF(($K$7+75)&gt;$L$7,"",IFERROR(B134/E134,""))</f>
        <v/>
      </c>
      <c r="H134" s="38">
        <f>IF(($K$7+75)&gt;$L$7,"",SUMIFS('Данные'!$F:$F,'Данные'!$A:$A,"&gt;="&amp;($K$7+75),'Данные'!$A:$A,"&lt;"&amp;($K$7+75)+1,'Данные'!$B:$B,$B$3))</f>
        <v/>
      </c>
      <c r="I134" s="40">
        <f>IF(($K$7+75)&gt;$L$7,"",IFERROR(B134/H134,""))</f>
        <v/>
      </c>
      <c r="J134" s="41">
        <f>IF(($K$7+75)&gt;$L$7,"",IFERROR(H134/E134,""))</f>
        <v/>
      </c>
    </row>
    <row r="135">
      <c r="A135" s="29">
        <f>IF(($K$7+76)&gt;$L$7,"",TEXT(($K$7+76),"DD.MM")&amp;" "&amp;CHOOSE(WEEKDAY(($K$7+76),2),"пн","вт","ср","чт","пт","сб","вс"))</f>
        <v/>
      </c>
      <c r="B135" s="30">
        <f>IF(($K$7+76)&gt;$L$7,"",SUMIFS('Данные'!$C:$C,'Данные'!$A:$A,"&gt;="&amp;($K$7+76),'Данные'!$A:$A,"&lt;"&amp;($K$7+76)+1,'Данные'!$B:$B,$B$3))</f>
        <v/>
      </c>
      <c r="C135" s="30">
        <f>IF(($K$7+76)&gt;$L$7,"",B135*(100+22)/100)</f>
        <v/>
      </c>
      <c r="D135" s="31">
        <f>IF(($K$7+76)&gt;$L$7,"",SUMIFS('Данные'!$D:$D,'Данные'!$A:$A,"&gt;="&amp;($K$7+76),'Данные'!$A:$A,"&lt;"&amp;($K$7+76)+1,'Данные'!$B:$B,$B$3))</f>
        <v/>
      </c>
      <c r="E135" s="31">
        <f>IF(($K$7+76)&gt;$L$7,"",SUMIFS('Данные'!$E:$E,'Данные'!$A:$A,"&gt;="&amp;($K$7+76),'Данные'!$A:$A,"&lt;"&amp;($K$7+76)+1,'Данные'!$B:$B,$B$3))</f>
        <v/>
      </c>
      <c r="F135" s="32">
        <f>IF(($K$7+76)&gt;$L$7,"",IFERROR(E135/D135,""))</f>
        <v/>
      </c>
      <c r="G135" s="33">
        <f>IF(($K$7+76)&gt;$L$7,"",IFERROR(B135/E135,""))</f>
        <v/>
      </c>
      <c r="H135" s="31">
        <f>IF(($K$7+76)&gt;$L$7,"",SUMIFS('Данные'!$F:$F,'Данные'!$A:$A,"&gt;="&amp;($K$7+76),'Данные'!$A:$A,"&lt;"&amp;($K$7+76)+1,'Данные'!$B:$B,$B$3))</f>
        <v/>
      </c>
      <c r="I135" s="33">
        <f>IF(($K$7+76)&gt;$L$7,"",IFERROR(B135/H135,""))</f>
        <v/>
      </c>
      <c r="J135" s="34">
        <f>IF(($K$7+76)&gt;$L$7,"",IFERROR(H135/E135,""))</f>
        <v/>
      </c>
    </row>
    <row r="136">
      <c r="A136" s="36">
        <f>IF(($K$7+77)&gt;$L$7,"",TEXT(($K$7+77),"DD.MM")&amp;" "&amp;CHOOSE(WEEKDAY(($K$7+77),2),"пн","вт","ср","чт","пт","сб","вс"))</f>
        <v/>
      </c>
      <c r="B136" s="37">
        <f>IF(($K$7+77)&gt;$L$7,"",SUMIFS('Данные'!$C:$C,'Данные'!$A:$A,"&gt;="&amp;($K$7+77),'Данные'!$A:$A,"&lt;"&amp;($K$7+77)+1,'Данные'!$B:$B,$B$3))</f>
        <v/>
      </c>
      <c r="C136" s="37">
        <f>IF(($K$7+77)&gt;$L$7,"",B136*(100+22)/100)</f>
        <v/>
      </c>
      <c r="D136" s="38">
        <f>IF(($K$7+77)&gt;$L$7,"",SUMIFS('Данные'!$D:$D,'Данные'!$A:$A,"&gt;="&amp;($K$7+77),'Данные'!$A:$A,"&lt;"&amp;($K$7+77)+1,'Данные'!$B:$B,$B$3))</f>
        <v/>
      </c>
      <c r="E136" s="38">
        <f>IF(($K$7+77)&gt;$L$7,"",SUMIFS('Данные'!$E:$E,'Данные'!$A:$A,"&gt;="&amp;($K$7+77),'Данные'!$A:$A,"&lt;"&amp;($K$7+77)+1,'Данные'!$B:$B,$B$3))</f>
        <v/>
      </c>
      <c r="F136" s="39">
        <f>IF(($K$7+77)&gt;$L$7,"",IFERROR(E136/D136,""))</f>
        <v/>
      </c>
      <c r="G136" s="40">
        <f>IF(($K$7+77)&gt;$L$7,"",IFERROR(B136/E136,""))</f>
        <v/>
      </c>
      <c r="H136" s="38">
        <f>IF(($K$7+77)&gt;$L$7,"",SUMIFS('Данные'!$F:$F,'Данные'!$A:$A,"&gt;="&amp;($K$7+77),'Данные'!$A:$A,"&lt;"&amp;($K$7+77)+1,'Данные'!$B:$B,$B$3))</f>
        <v/>
      </c>
      <c r="I136" s="40">
        <f>IF(($K$7+77)&gt;$L$7,"",IFERROR(B136/H136,""))</f>
        <v/>
      </c>
      <c r="J136" s="41">
        <f>IF(($K$7+77)&gt;$L$7,"",IFERROR(H136/E136,""))</f>
        <v/>
      </c>
    </row>
    <row r="137">
      <c r="A137" s="29">
        <f>IF(($K$7+78)&gt;$L$7,"",TEXT(($K$7+78),"DD.MM")&amp;" "&amp;CHOOSE(WEEKDAY(($K$7+78),2),"пн","вт","ср","чт","пт","сб","вс"))</f>
        <v/>
      </c>
      <c r="B137" s="30">
        <f>IF(($K$7+78)&gt;$L$7,"",SUMIFS('Данные'!$C:$C,'Данные'!$A:$A,"&gt;="&amp;($K$7+78),'Данные'!$A:$A,"&lt;"&amp;($K$7+78)+1,'Данные'!$B:$B,$B$3))</f>
        <v/>
      </c>
      <c r="C137" s="30">
        <f>IF(($K$7+78)&gt;$L$7,"",B137*(100+22)/100)</f>
        <v/>
      </c>
      <c r="D137" s="31">
        <f>IF(($K$7+78)&gt;$L$7,"",SUMIFS('Данные'!$D:$D,'Данные'!$A:$A,"&gt;="&amp;($K$7+78),'Данные'!$A:$A,"&lt;"&amp;($K$7+78)+1,'Данные'!$B:$B,$B$3))</f>
        <v/>
      </c>
      <c r="E137" s="31">
        <f>IF(($K$7+78)&gt;$L$7,"",SUMIFS('Данные'!$E:$E,'Данные'!$A:$A,"&gt;="&amp;($K$7+78),'Данные'!$A:$A,"&lt;"&amp;($K$7+78)+1,'Данные'!$B:$B,$B$3))</f>
        <v/>
      </c>
      <c r="F137" s="32">
        <f>IF(($K$7+78)&gt;$L$7,"",IFERROR(E137/D137,""))</f>
        <v/>
      </c>
      <c r="G137" s="33">
        <f>IF(($K$7+78)&gt;$L$7,"",IFERROR(B137/E137,""))</f>
        <v/>
      </c>
      <c r="H137" s="31">
        <f>IF(($K$7+78)&gt;$L$7,"",SUMIFS('Данные'!$F:$F,'Данные'!$A:$A,"&gt;="&amp;($K$7+78),'Данные'!$A:$A,"&lt;"&amp;($K$7+78)+1,'Данные'!$B:$B,$B$3))</f>
        <v/>
      </c>
      <c r="I137" s="33">
        <f>IF(($K$7+78)&gt;$L$7,"",IFERROR(B137/H137,""))</f>
        <v/>
      </c>
      <c r="J137" s="34">
        <f>IF(($K$7+78)&gt;$L$7,"",IFERROR(H137/E137,""))</f>
        <v/>
      </c>
    </row>
    <row r="138">
      <c r="A138" s="36">
        <f>IF(($K$7+79)&gt;$L$7,"",TEXT(($K$7+79),"DD.MM")&amp;" "&amp;CHOOSE(WEEKDAY(($K$7+79),2),"пн","вт","ср","чт","пт","сб","вс"))</f>
        <v/>
      </c>
      <c r="B138" s="37">
        <f>IF(($K$7+79)&gt;$L$7,"",SUMIFS('Данные'!$C:$C,'Данные'!$A:$A,"&gt;="&amp;($K$7+79),'Данные'!$A:$A,"&lt;"&amp;($K$7+79)+1,'Данные'!$B:$B,$B$3))</f>
        <v/>
      </c>
      <c r="C138" s="37">
        <f>IF(($K$7+79)&gt;$L$7,"",B138*(100+22)/100)</f>
        <v/>
      </c>
      <c r="D138" s="38">
        <f>IF(($K$7+79)&gt;$L$7,"",SUMIFS('Данные'!$D:$D,'Данные'!$A:$A,"&gt;="&amp;($K$7+79),'Данные'!$A:$A,"&lt;"&amp;($K$7+79)+1,'Данные'!$B:$B,$B$3))</f>
        <v/>
      </c>
      <c r="E138" s="38">
        <f>IF(($K$7+79)&gt;$L$7,"",SUMIFS('Данные'!$E:$E,'Данные'!$A:$A,"&gt;="&amp;($K$7+79),'Данные'!$A:$A,"&lt;"&amp;($K$7+79)+1,'Данные'!$B:$B,$B$3))</f>
        <v/>
      </c>
      <c r="F138" s="39">
        <f>IF(($K$7+79)&gt;$L$7,"",IFERROR(E138/D138,""))</f>
        <v/>
      </c>
      <c r="G138" s="40">
        <f>IF(($K$7+79)&gt;$L$7,"",IFERROR(B138/E138,""))</f>
        <v/>
      </c>
      <c r="H138" s="38">
        <f>IF(($K$7+79)&gt;$L$7,"",SUMIFS('Данные'!$F:$F,'Данные'!$A:$A,"&gt;="&amp;($K$7+79),'Данные'!$A:$A,"&lt;"&amp;($K$7+79)+1,'Данные'!$B:$B,$B$3))</f>
        <v/>
      </c>
      <c r="I138" s="40">
        <f>IF(($K$7+79)&gt;$L$7,"",IFERROR(B138/H138,""))</f>
        <v/>
      </c>
      <c r="J138" s="41">
        <f>IF(($K$7+79)&gt;$L$7,"",IFERROR(H138/E138,""))</f>
        <v/>
      </c>
    </row>
    <row r="139">
      <c r="A139" s="29">
        <f>IF(($K$7+80)&gt;$L$7,"",TEXT(($K$7+80),"DD.MM")&amp;" "&amp;CHOOSE(WEEKDAY(($K$7+80),2),"пн","вт","ср","чт","пт","сб","вс"))</f>
        <v/>
      </c>
      <c r="B139" s="30">
        <f>IF(($K$7+80)&gt;$L$7,"",SUMIFS('Данные'!$C:$C,'Данные'!$A:$A,"&gt;="&amp;($K$7+80),'Данные'!$A:$A,"&lt;"&amp;($K$7+80)+1,'Данные'!$B:$B,$B$3))</f>
        <v/>
      </c>
      <c r="C139" s="30">
        <f>IF(($K$7+80)&gt;$L$7,"",B139*(100+22)/100)</f>
        <v/>
      </c>
      <c r="D139" s="31">
        <f>IF(($K$7+80)&gt;$L$7,"",SUMIFS('Данные'!$D:$D,'Данные'!$A:$A,"&gt;="&amp;($K$7+80),'Данные'!$A:$A,"&lt;"&amp;($K$7+80)+1,'Данные'!$B:$B,$B$3))</f>
        <v/>
      </c>
      <c r="E139" s="31">
        <f>IF(($K$7+80)&gt;$L$7,"",SUMIFS('Данные'!$E:$E,'Данные'!$A:$A,"&gt;="&amp;($K$7+80),'Данные'!$A:$A,"&lt;"&amp;($K$7+80)+1,'Данные'!$B:$B,$B$3))</f>
        <v/>
      </c>
      <c r="F139" s="32">
        <f>IF(($K$7+80)&gt;$L$7,"",IFERROR(E139/D139,""))</f>
        <v/>
      </c>
      <c r="G139" s="33">
        <f>IF(($K$7+80)&gt;$L$7,"",IFERROR(B139/E139,""))</f>
        <v/>
      </c>
      <c r="H139" s="31">
        <f>IF(($K$7+80)&gt;$L$7,"",SUMIFS('Данные'!$F:$F,'Данные'!$A:$A,"&gt;="&amp;($K$7+80),'Данные'!$A:$A,"&lt;"&amp;($K$7+80)+1,'Данные'!$B:$B,$B$3))</f>
        <v/>
      </c>
      <c r="I139" s="33">
        <f>IF(($K$7+80)&gt;$L$7,"",IFERROR(B139/H139,""))</f>
        <v/>
      </c>
      <c r="J139" s="34">
        <f>IF(($K$7+80)&gt;$L$7,"",IFERROR(H139/E139,""))</f>
        <v/>
      </c>
    </row>
    <row r="140">
      <c r="A140" s="36">
        <f>IF(($K$7+81)&gt;$L$7,"",TEXT(($K$7+81),"DD.MM")&amp;" "&amp;CHOOSE(WEEKDAY(($K$7+81),2),"пн","вт","ср","чт","пт","сб","вс"))</f>
        <v/>
      </c>
      <c r="B140" s="37">
        <f>IF(($K$7+81)&gt;$L$7,"",SUMIFS('Данные'!$C:$C,'Данные'!$A:$A,"&gt;="&amp;($K$7+81),'Данные'!$A:$A,"&lt;"&amp;($K$7+81)+1,'Данные'!$B:$B,$B$3))</f>
        <v/>
      </c>
      <c r="C140" s="37">
        <f>IF(($K$7+81)&gt;$L$7,"",B140*(100+22)/100)</f>
        <v/>
      </c>
      <c r="D140" s="38">
        <f>IF(($K$7+81)&gt;$L$7,"",SUMIFS('Данные'!$D:$D,'Данные'!$A:$A,"&gt;="&amp;($K$7+81),'Данные'!$A:$A,"&lt;"&amp;($K$7+81)+1,'Данные'!$B:$B,$B$3))</f>
        <v/>
      </c>
      <c r="E140" s="38">
        <f>IF(($K$7+81)&gt;$L$7,"",SUMIFS('Данные'!$E:$E,'Данные'!$A:$A,"&gt;="&amp;($K$7+81),'Данные'!$A:$A,"&lt;"&amp;($K$7+81)+1,'Данные'!$B:$B,$B$3))</f>
        <v/>
      </c>
      <c r="F140" s="39">
        <f>IF(($K$7+81)&gt;$L$7,"",IFERROR(E140/D140,""))</f>
        <v/>
      </c>
      <c r="G140" s="40">
        <f>IF(($K$7+81)&gt;$L$7,"",IFERROR(B140/E140,""))</f>
        <v/>
      </c>
      <c r="H140" s="38">
        <f>IF(($K$7+81)&gt;$L$7,"",SUMIFS('Данные'!$F:$F,'Данные'!$A:$A,"&gt;="&amp;($K$7+81),'Данные'!$A:$A,"&lt;"&amp;($K$7+81)+1,'Данные'!$B:$B,$B$3))</f>
        <v/>
      </c>
      <c r="I140" s="40">
        <f>IF(($K$7+81)&gt;$L$7,"",IFERROR(B140/H140,""))</f>
        <v/>
      </c>
      <c r="J140" s="41">
        <f>IF(($K$7+81)&gt;$L$7,"",IFERROR(H140/E140,""))</f>
        <v/>
      </c>
    </row>
    <row r="141">
      <c r="A141" s="29">
        <f>IF(($K$7+82)&gt;$L$7,"",TEXT(($K$7+82),"DD.MM")&amp;" "&amp;CHOOSE(WEEKDAY(($K$7+82),2),"пн","вт","ср","чт","пт","сб","вс"))</f>
        <v/>
      </c>
      <c r="B141" s="30">
        <f>IF(($K$7+82)&gt;$L$7,"",SUMIFS('Данные'!$C:$C,'Данные'!$A:$A,"&gt;="&amp;($K$7+82),'Данные'!$A:$A,"&lt;"&amp;($K$7+82)+1,'Данные'!$B:$B,$B$3))</f>
        <v/>
      </c>
      <c r="C141" s="30">
        <f>IF(($K$7+82)&gt;$L$7,"",B141*(100+22)/100)</f>
        <v/>
      </c>
      <c r="D141" s="31">
        <f>IF(($K$7+82)&gt;$L$7,"",SUMIFS('Данные'!$D:$D,'Данные'!$A:$A,"&gt;="&amp;($K$7+82),'Данные'!$A:$A,"&lt;"&amp;($K$7+82)+1,'Данные'!$B:$B,$B$3))</f>
        <v/>
      </c>
      <c r="E141" s="31">
        <f>IF(($K$7+82)&gt;$L$7,"",SUMIFS('Данные'!$E:$E,'Данные'!$A:$A,"&gt;="&amp;($K$7+82),'Данные'!$A:$A,"&lt;"&amp;($K$7+82)+1,'Данные'!$B:$B,$B$3))</f>
        <v/>
      </c>
      <c r="F141" s="32">
        <f>IF(($K$7+82)&gt;$L$7,"",IFERROR(E141/D141,""))</f>
        <v/>
      </c>
      <c r="G141" s="33">
        <f>IF(($K$7+82)&gt;$L$7,"",IFERROR(B141/E141,""))</f>
        <v/>
      </c>
      <c r="H141" s="31">
        <f>IF(($K$7+82)&gt;$L$7,"",SUMIFS('Данные'!$F:$F,'Данные'!$A:$A,"&gt;="&amp;($K$7+82),'Данные'!$A:$A,"&lt;"&amp;($K$7+82)+1,'Данные'!$B:$B,$B$3))</f>
        <v/>
      </c>
      <c r="I141" s="33">
        <f>IF(($K$7+82)&gt;$L$7,"",IFERROR(B141/H141,""))</f>
        <v/>
      </c>
      <c r="J141" s="34">
        <f>IF(($K$7+82)&gt;$L$7,"",IFERROR(H141/E141,""))</f>
        <v/>
      </c>
    </row>
    <row r="142">
      <c r="A142" s="36">
        <f>IF(($K$7+83)&gt;$L$7,"",TEXT(($K$7+83),"DD.MM")&amp;" "&amp;CHOOSE(WEEKDAY(($K$7+83),2),"пн","вт","ср","чт","пт","сб","вс"))</f>
        <v/>
      </c>
      <c r="B142" s="37">
        <f>IF(($K$7+83)&gt;$L$7,"",SUMIFS('Данные'!$C:$C,'Данные'!$A:$A,"&gt;="&amp;($K$7+83),'Данные'!$A:$A,"&lt;"&amp;($K$7+83)+1,'Данные'!$B:$B,$B$3))</f>
        <v/>
      </c>
      <c r="C142" s="37">
        <f>IF(($K$7+83)&gt;$L$7,"",B142*(100+22)/100)</f>
        <v/>
      </c>
      <c r="D142" s="38">
        <f>IF(($K$7+83)&gt;$L$7,"",SUMIFS('Данные'!$D:$D,'Данные'!$A:$A,"&gt;="&amp;($K$7+83),'Данные'!$A:$A,"&lt;"&amp;($K$7+83)+1,'Данные'!$B:$B,$B$3))</f>
        <v/>
      </c>
      <c r="E142" s="38">
        <f>IF(($K$7+83)&gt;$L$7,"",SUMIFS('Данные'!$E:$E,'Данные'!$A:$A,"&gt;="&amp;($K$7+83),'Данные'!$A:$A,"&lt;"&amp;($K$7+83)+1,'Данные'!$B:$B,$B$3))</f>
        <v/>
      </c>
      <c r="F142" s="39">
        <f>IF(($K$7+83)&gt;$L$7,"",IFERROR(E142/D142,""))</f>
        <v/>
      </c>
      <c r="G142" s="40">
        <f>IF(($K$7+83)&gt;$L$7,"",IFERROR(B142/E142,""))</f>
        <v/>
      </c>
      <c r="H142" s="38">
        <f>IF(($K$7+83)&gt;$L$7,"",SUMIFS('Данные'!$F:$F,'Данные'!$A:$A,"&gt;="&amp;($K$7+83),'Данные'!$A:$A,"&lt;"&amp;($K$7+83)+1,'Данные'!$B:$B,$B$3))</f>
        <v/>
      </c>
      <c r="I142" s="40">
        <f>IF(($K$7+83)&gt;$L$7,"",IFERROR(B142/H142,""))</f>
        <v/>
      </c>
      <c r="J142" s="41">
        <f>IF(($K$7+83)&gt;$L$7,"",IFERROR(H142/E142,""))</f>
        <v/>
      </c>
    </row>
    <row r="143">
      <c r="A143" s="29">
        <f>IF(($K$7+84)&gt;$L$7,"",TEXT(($K$7+84),"DD.MM")&amp;" "&amp;CHOOSE(WEEKDAY(($K$7+84),2),"пн","вт","ср","чт","пт","сб","вс"))</f>
        <v/>
      </c>
      <c r="B143" s="30">
        <f>IF(($K$7+84)&gt;$L$7,"",SUMIFS('Данные'!$C:$C,'Данные'!$A:$A,"&gt;="&amp;($K$7+84),'Данные'!$A:$A,"&lt;"&amp;($K$7+84)+1,'Данные'!$B:$B,$B$3))</f>
        <v/>
      </c>
      <c r="C143" s="30">
        <f>IF(($K$7+84)&gt;$L$7,"",B143*(100+22)/100)</f>
        <v/>
      </c>
      <c r="D143" s="31">
        <f>IF(($K$7+84)&gt;$L$7,"",SUMIFS('Данные'!$D:$D,'Данные'!$A:$A,"&gt;="&amp;($K$7+84),'Данные'!$A:$A,"&lt;"&amp;($K$7+84)+1,'Данные'!$B:$B,$B$3))</f>
        <v/>
      </c>
      <c r="E143" s="31">
        <f>IF(($K$7+84)&gt;$L$7,"",SUMIFS('Данные'!$E:$E,'Данные'!$A:$A,"&gt;="&amp;($K$7+84),'Данные'!$A:$A,"&lt;"&amp;($K$7+84)+1,'Данные'!$B:$B,$B$3))</f>
        <v/>
      </c>
      <c r="F143" s="32">
        <f>IF(($K$7+84)&gt;$L$7,"",IFERROR(E143/D143,""))</f>
        <v/>
      </c>
      <c r="G143" s="33">
        <f>IF(($K$7+84)&gt;$L$7,"",IFERROR(B143/E143,""))</f>
        <v/>
      </c>
      <c r="H143" s="31">
        <f>IF(($K$7+84)&gt;$L$7,"",SUMIFS('Данные'!$F:$F,'Данные'!$A:$A,"&gt;="&amp;($K$7+84),'Данные'!$A:$A,"&lt;"&amp;($K$7+84)+1,'Данные'!$B:$B,$B$3))</f>
        <v/>
      </c>
      <c r="I143" s="33">
        <f>IF(($K$7+84)&gt;$L$7,"",IFERROR(B143/H143,""))</f>
        <v/>
      </c>
      <c r="J143" s="34">
        <f>IF(($K$7+84)&gt;$L$7,"",IFERROR(H143/E143,""))</f>
        <v/>
      </c>
    </row>
    <row r="144">
      <c r="A144" s="36">
        <f>IF(($K$7+85)&gt;$L$7,"",TEXT(($K$7+85),"DD.MM")&amp;" "&amp;CHOOSE(WEEKDAY(($K$7+85),2),"пн","вт","ср","чт","пт","сб","вс"))</f>
        <v/>
      </c>
      <c r="B144" s="37">
        <f>IF(($K$7+85)&gt;$L$7,"",SUMIFS('Данные'!$C:$C,'Данные'!$A:$A,"&gt;="&amp;($K$7+85),'Данные'!$A:$A,"&lt;"&amp;($K$7+85)+1,'Данные'!$B:$B,$B$3))</f>
        <v/>
      </c>
      <c r="C144" s="37">
        <f>IF(($K$7+85)&gt;$L$7,"",B144*(100+22)/100)</f>
        <v/>
      </c>
      <c r="D144" s="38">
        <f>IF(($K$7+85)&gt;$L$7,"",SUMIFS('Данные'!$D:$D,'Данные'!$A:$A,"&gt;="&amp;($K$7+85),'Данные'!$A:$A,"&lt;"&amp;($K$7+85)+1,'Данные'!$B:$B,$B$3))</f>
        <v/>
      </c>
      <c r="E144" s="38">
        <f>IF(($K$7+85)&gt;$L$7,"",SUMIFS('Данные'!$E:$E,'Данные'!$A:$A,"&gt;="&amp;($K$7+85),'Данные'!$A:$A,"&lt;"&amp;($K$7+85)+1,'Данные'!$B:$B,$B$3))</f>
        <v/>
      </c>
      <c r="F144" s="39">
        <f>IF(($K$7+85)&gt;$L$7,"",IFERROR(E144/D144,""))</f>
        <v/>
      </c>
      <c r="G144" s="40">
        <f>IF(($K$7+85)&gt;$L$7,"",IFERROR(B144/E144,""))</f>
        <v/>
      </c>
      <c r="H144" s="38">
        <f>IF(($K$7+85)&gt;$L$7,"",SUMIFS('Данные'!$F:$F,'Данные'!$A:$A,"&gt;="&amp;($K$7+85),'Данные'!$A:$A,"&lt;"&amp;($K$7+85)+1,'Данные'!$B:$B,$B$3))</f>
        <v/>
      </c>
      <c r="I144" s="40">
        <f>IF(($K$7+85)&gt;$L$7,"",IFERROR(B144/H144,""))</f>
        <v/>
      </c>
      <c r="J144" s="41">
        <f>IF(($K$7+85)&gt;$L$7,"",IFERROR(H144/E144,""))</f>
        <v/>
      </c>
    </row>
    <row r="145">
      <c r="A145" s="29">
        <f>IF(($K$7+86)&gt;$L$7,"",TEXT(($K$7+86),"DD.MM")&amp;" "&amp;CHOOSE(WEEKDAY(($K$7+86),2),"пн","вт","ср","чт","пт","сб","вс"))</f>
        <v/>
      </c>
      <c r="B145" s="30">
        <f>IF(($K$7+86)&gt;$L$7,"",SUMIFS('Данные'!$C:$C,'Данные'!$A:$A,"&gt;="&amp;($K$7+86),'Данные'!$A:$A,"&lt;"&amp;($K$7+86)+1,'Данные'!$B:$B,$B$3))</f>
        <v/>
      </c>
      <c r="C145" s="30">
        <f>IF(($K$7+86)&gt;$L$7,"",B145*(100+22)/100)</f>
        <v/>
      </c>
      <c r="D145" s="31">
        <f>IF(($K$7+86)&gt;$L$7,"",SUMIFS('Данные'!$D:$D,'Данные'!$A:$A,"&gt;="&amp;($K$7+86),'Данные'!$A:$A,"&lt;"&amp;($K$7+86)+1,'Данные'!$B:$B,$B$3))</f>
        <v/>
      </c>
      <c r="E145" s="31">
        <f>IF(($K$7+86)&gt;$L$7,"",SUMIFS('Данные'!$E:$E,'Данные'!$A:$A,"&gt;="&amp;($K$7+86),'Данные'!$A:$A,"&lt;"&amp;($K$7+86)+1,'Данные'!$B:$B,$B$3))</f>
        <v/>
      </c>
      <c r="F145" s="32">
        <f>IF(($K$7+86)&gt;$L$7,"",IFERROR(E145/D145,""))</f>
        <v/>
      </c>
      <c r="G145" s="33">
        <f>IF(($K$7+86)&gt;$L$7,"",IFERROR(B145/E145,""))</f>
        <v/>
      </c>
      <c r="H145" s="31">
        <f>IF(($K$7+86)&gt;$L$7,"",SUMIFS('Данные'!$F:$F,'Данные'!$A:$A,"&gt;="&amp;($K$7+86),'Данные'!$A:$A,"&lt;"&amp;($K$7+86)+1,'Данные'!$B:$B,$B$3))</f>
        <v/>
      </c>
      <c r="I145" s="33">
        <f>IF(($K$7+86)&gt;$L$7,"",IFERROR(B145/H145,""))</f>
        <v/>
      </c>
      <c r="J145" s="34">
        <f>IF(($K$7+86)&gt;$L$7,"",IFERROR(H145/E145,""))</f>
        <v/>
      </c>
    </row>
    <row r="146">
      <c r="A146" s="36">
        <f>IF(($K$7+87)&gt;$L$7,"",TEXT(($K$7+87),"DD.MM")&amp;" "&amp;CHOOSE(WEEKDAY(($K$7+87),2),"пн","вт","ср","чт","пт","сб","вс"))</f>
        <v/>
      </c>
      <c r="B146" s="37">
        <f>IF(($K$7+87)&gt;$L$7,"",SUMIFS('Данные'!$C:$C,'Данные'!$A:$A,"&gt;="&amp;($K$7+87),'Данные'!$A:$A,"&lt;"&amp;($K$7+87)+1,'Данные'!$B:$B,$B$3))</f>
        <v/>
      </c>
      <c r="C146" s="37">
        <f>IF(($K$7+87)&gt;$L$7,"",B146*(100+22)/100)</f>
        <v/>
      </c>
      <c r="D146" s="38">
        <f>IF(($K$7+87)&gt;$L$7,"",SUMIFS('Данные'!$D:$D,'Данные'!$A:$A,"&gt;="&amp;($K$7+87),'Данные'!$A:$A,"&lt;"&amp;($K$7+87)+1,'Данные'!$B:$B,$B$3))</f>
        <v/>
      </c>
      <c r="E146" s="38">
        <f>IF(($K$7+87)&gt;$L$7,"",SUMIFS('Данные'!$E:$E,'Данные'!$A:$A,"&gt;="&amp;($K$7+87),'Данные'!$A:$A,"&lt;"&amp;($K$7+87)+1,'Данные'!$B:$B,$B$3))</f>
        <v/>
      </c>
      <c r="F146" s="39">
        <f>IF(($K$7+87)&gt;$L$7,"",IFERROR(E146/D146,""))</f>
        <v/>
      </c>
      <c r="G146" s="40">
        <f>IF(($K$7+87)&gt;$L$7,"",IFERROR(B146/E146,""))</f>
        <v/>
      </c>
      <c r="H146" s="38">
        <f>IF(($K$7+87)&gt;$L$7,"",SUMIFS('Данные'!$F:$F,'Данные'!$A:$A,"&gt;="&amp;($K$7+87),'Данные'!$A:$A,"&lt;"&amp;($K$7+87)+1,'Данные'!$B:$B,$B$3))</f>
        <v/>
      </c>
      <c r="I146" s="40">
        <f>IF(($K$7+87)&gt;$L$7,"",IFERROR(B146/H146,""))</f>
        <v/>
      </c>
      <c r="J146" s="41">
        <f>IF(($K$7+87)&gt;$L$7,"",IFERROR(H146/E146,""))</f>
        <v/>
      </c>
    </row>
    <row r="147">
      <c r="A147" s="29">
        <f>IF(($K$7+88)&gt;$L$7,"",TEXT(($K$7+88),"DD.MM")&amp;" "&amp;CHOOSE(WEEKDAY(($K$7+88),2),"пн","вт","ср","чт","пт","сб","вс"))</f>
        <v/>
      </c>
      <c r="B147" s="30">
        <f>IF(($K$7+88)&gt;$L$7,"",SUMIFS('Данные'!$C:$C,'Данные'!$A:$A,"&gt;="&amp;($K$7+88),'Данные'!$A:$A,"&lt;"&amp;($K$7+88)+1,'Данные'!$B:$B,$B$3))</f>
        <v/>
      </c>
      <c r="C147" s="30">
        <f>IF(($K$7+88)&gt;$L$7,"",B147*(100+22)/100)</f>
        <v/>
      </c>
      <c r="D147" s="31">
        <f>IF(($K$7+88)&gt;$L$7,"",SUMIFS('Данные'!$D:$D,'Данные'!$A:$A,"&gt;="&amp;($K$7+88),'Данные'!$A:$A,"&lt;"&amp;($K$7+88)+1,'Данные'!$B:$B,$B$3))</f>
        <v/>
      </c>
      <c r="E147" s="31">
        <f>IF(($K$7+88)&gt;$L$7,"",SUMIFS('Данные'!$E:$E,'Данные'!$A:$A,"&gt;="&amp;($K$7+88),'Данные'!$A:$A,"&lt;"&amp;($K$7+88)+1,'Данные'!$B:$B,$B$3))</f>
        <v/>
      </c>
      <c r="F147" s="32">
        <f>IF(($K$7+88)&gt;$L$7,"",IFERROR(E147/D147,""))</f>
        <v/>
      </c>
      <c r="G147" s="33">
        <f>IF(($K$7+88)&gt;$L$7,"",IFERROR(B147/E147,""))</f>
        <v/>
      </c>
      <c r="H147" s="31">
        <f>IF(($K$7+88)&gt;$L$7,"",SUMIFS('Данные'!$F:$F,'Данные'!$A:$A,"&gt;="&amp;($K$7+88),'Данные'!$A:$A,"&lt;"&amp;($K$7+88)+1,'Данные'!$B:$B,$B$3))</f>
        <v/>
      </c>
      <c r="I147" s="33">
        <f>IF(($K$7+88)&gt;$L$7,"",IFERROR(B147/H147,""))</f>
        <v/>
      </c>
      <c r="J147" s="34">
        <f>IF(($K$7+88)&gt;$L$7,"",IFERROR(H147/E147,""))</f>
        <v/>
      </c>
    </row>
    <row r="148">
      <c r="A148" s="36">
        <f>IF(($K$7+89)&gt;$L$7,"",TEXT(($K$7+89),"DD.MM")&amp;" "&amp;CHOOSE(WEEKDAY(($K$7+89),2),"пн","вт","ср","чт","пт","сб","вс"))</f>
        <v/>
      </c>
      <c r="B148" s="37">
        <f>IF(($K$7+89)&gt;$L$7,"",SUMIFS('Данные'!$C:$C,'Данные'!$A:$A,"&gt;="&amp;($K$7+89),'Данные'!$A:$A,"&lt;"&amp;($K$7+89)+1,'Данные'!$B:$B,$B$3))</f>
        <v/>
      </c>
      <c r="C148" s="37">
        <f>IF(($K$7+89)&gt;$L$7,"",B148*(100+22)/100)</f>
        <v/>
      </c>
      <c r="D148" s="38">
        <f>IF(($K$7+89)&gt;$L$7,"",SUMIFS('Данные'!$D:$D,'Данные'!$A:$A,"&gt;="&amp;($K$7+89),'Данные'!$A:$A,"&lt;"&amp;($K$7+89)+1,'Данные'!$B:$B,$B$3))</f>
        <v/>
      </c>
      <c r="E148" s="38">
        <f>IF(($K$7+89)&gt;$L$7,"",SUMIFS('Данные'!$E:$E,'Данные'!$A:$A,"&gt;="&amp;($K$7+89),'Данные'!$A:$A,"&lt;"&amp;($K$7+89)+1,'Данные'!$B:$B,$B$3))</f>
        <v/>
      </c>
      <c r="F148" s="39">
        <f>IF(($K$7+89)&gt;$L$7,"",IFERROR(E148/D148,""))</f>
        <v/>
      </c>
      <c r="G148" s="40">
        <f>IF(($K$7+89)&gt;$L$7,"",IFERROR(B148/E148,""))</f>
        <v/>
      </c>
      <c r="H148" s="38">
        <f>IF(($K$7+89)&gt;$L$7,"",SUMIFS('Данные'!$F:$F,'Данные'!$A:$A,"&gt;="&amp;($K$7+89),'Данные'!$A:$A,"&lt;"&amp;($K$7+89)+1,'Данные'!$B:$B,$B$3))</f>
        <v/>
      </c>
      <c r="I148" s="40">
        <f>IF(($K$7+89)&gt;$L$7,"",IFERROR(B148/H148,""))</f>
        <v/>
      </c>
      <c r="J148" s="41">
        <f>IF(($K$7+89)&gt;$L$7,"",IFERROR(H148/E148,""))</f>
        <v/>
      </c>
    </row>
    <row r="149">
      <c r="A149" s="29">
        <f>IF(($K$7+90)&gt;$L$7,"",TEXT(($K$7+90),"DD.MM")&amp;" "&amp;CHOOSE(WEEKDAY(($K$7+90),2),"пн","вт","ср","чт","пт","сб","вс"))</f>
        <v/>
      </c>
      <c r="B149" s="30">
        <f>IF(($K$7+90)&gt;$L$7,"",SUMIFS('Данные'!$C:$C,'Данные'!$A:$A,"&gt;="&amp;($K$7+90),'Данные'!$A:$A,"&lt;"&amp;($K$7+90)+1,'Данные'!$B:$B,$B$3))</f>
        <v/>
      </c>
      <c r="C149" s="30">
        <f>IF(($K$7+90)&gt;$L$7,"",B149*(100+22)/100)</f>
        <v/>
      </c>
      <c r="D149" s="31">
        <f>IF(($K$7+90)&gt;$L$7,"",SUMIFS('Данные'!$D:$D,'Данные'!$A:$A,"&gt;="&amp;($K$7+90),'Данные'!$A:$A,"&lt;"&amp;($K$7+90)+1,'Данные'!$B:$B,$B$3))</f>
        <v/>
      </c>
      <c r="E149" s="31">
        <f>IF(($K$7+90)&gt;$L$7,"",SUMIFS('Данные'!$E:$E,'Данные'!$A:$A,"&gt;="&amp;($K$7+90),'Данные'!$A:$A,"&lt;"&amp;($K$7+90)+1,'Данные'!$B:$B,$B$3))</f>
        <v/>
      </c>
      <c r="F149" s="32">
        <f>IF(($K$7+90)&gt;$L$7,"",IFERROR(E149/D149,""))</f>
        <v/>
      </c>
      <c r="G149" s="33">
        <f>IF(($K$7+90)&gt;$L$7,"",IFERROR(B149/E149,""))</f>
        <v/>
      </c>
      <c r="H149" s="31">
        <f>IF(($K$7+90)&gt;$L$7,"",SUMIFS('Данные'!$F:$F,'Данные'!$A:$A,"&gt;="&amp;($K$7+90),'Данные'!$A:$A,"&lt;"&amp;($K$7+90)+1,'Данные'!$B:$B,$B$3))</f>
        <v/>
      </c>
      <c r="I149" s="33">
        <f>IF(($K$7+90)&gt;$L$7,"",IFERROR(B149/H149,""))</f>
        <v/>
      </c>
      <c r="J149" s="34">
        <f>IF(($K$7+90)&gt;$L$7,"",IFERROR(H149/E149,""))</f>
        <v/>
      </c>
    </row>
    <row r="150">
      <c r="A150" s="36">
        <f>IF(($K$7+91)&gt;$L$7,"",TEXT(($K$7+91),"DD.MM")&amp;" "&amp;CHOOSE(WEEKDAY(($K$7+91),2),"пн","вт","ср","чт","пт","сб","вс"))</f>
        <v/>
      </c>
      <c r="B150" s="37">
        <f>IF(($K$7+91)&gt;$L$7,"",SUMIFS('Данные'!$C:$C,'Данные'!$A:$A,"&gt;="&amp;($K$7+91),'Данные'!$A:$A,"&lt;"&amp;($K$7+91)+1,'Данные'!$B:$B,$B$3))</f>
        <v/>
      </c>
      <c r="C150" s="37">
        <f>IF(($K$7+91)&gt;$L$7,"",B150*(100+22)/100)</f>
        <v/>
      </c>
      <c r="D150" s="38">
        <f>IF(($K$7+91)&gt;$L$7,"",SUMIFS('Данные'!$D:$D,'Данные'!$A:$A,"&gt;="&amp;($K$7+91),'Данные'!$A:$A,"&lt;"&amp;($K$7+91)+1,'Данные'!$B:$B,$B$3))</f>
        <v/>
      </c>
      <c r="E150" s="38">
        <f>IF(($K$7+91)&gt;$L$7,"",SUMIFS('Данные'!$E:$E,'Данные'!$A:$A,"&gt;="&amp;($K$7+91),'Данные'!$A:$A,"&lt;"&amp;($K$7+91)+1,'Данные'!$B:$B,$B$3))</f>
        <v/>
      </c>
      <c r="F150" s="39">
        <f>IF(($K$7+91)&gt;$L$7,"",IFERROR(E150/D150,""))</f>
        <v/>
      </c>
      <c r="G150" s="40">
        <f>IF(($K$7+91)&gt;$L$7,"",IFERROR(B150/E150,""))</f>
        <v/>
      </c>
      <c r="H150" s="38">
        <f>IF(($K$7+91)&gt;$L$7,"",SUMIFS('Данные'!$F:$F,'Данные'!$A:$A,"&gt;="&amp;($K$7+91),'Данные'!$A:$A,"&lt;"&amp;($K$7+91)+1,'Данные'!$B:$B,$B$3))</f>
        <v/>
      </c>
      <c r="I150" s="40">
        <f>IF(($K$7+91)&gt;$L$7,"",IFERROR(B150/H150,""))</f>
        <v/>
      </c>
      <c r="J150" s="41">
        <f>IF(($K$7+91)&gt;$L$7,"",IFERROR(H150/E150,""))</f>
        <v/>
      </c>
    </row>
  </sheetData>
  <conditionalFormatting sqref="D9">
    <cfRule type="expression" priority="1" dxfId="0">
      <formula>AND(ISNUMBER(D9),D9&gt;0.005)</formula>
    </cfRule>
    <cfRule type="expression" priority="2" dxfId="1">
      <formula>AND(ISNUMBER(D9),D9&lt;-0.005)</formula>
    </cfRule>
  </conditionalFormatting>
  <conditionalFormatting sqref="E9">
    <cfRule type="expression" priority="3" dxfId="0">
      <formula>AND(ISNUMBER(E9),E9&gt;0.005)</formula>
    </cfRule>
    <cfRule type="expression" priority="4" dxfId="1">
      <formula>AND(ISNUMBER(E9),E9&lt;-0.005)</formula>
    </cfRule>
  </conditionalFormatting>
  <conditionalFormatting sqref="F9">
    <cfRule type="expression" priority="5" dxfId="0">
      <formula>AND(ISNUMBER(F9),F9&gt;0.005)</formula>
    </cfRule>
    <cfRule type="expression" priority="6" dxfId="1">
      <formula>AND(ISNUMBER(F9),F9&lt;-0.005)</formula>
    </cfRule>
  </conditionalFormatting>
  <conditionalFormatting sqref="G9">
    <cfRule type="expression" priority="7" dxfId="1">
      <formula>AND(ISNUMBER(G9),G9&gt;0.005)</formula>
    </cfRule>
    <cfRule type="expression" priority="8" dxfId="0">
      <formula>AND(ISNUMBER(G9),G9&lt;-0.005)</formula>
    </cfRule>
  </conditionalFormatting>
  <conditionalFormatting sqref="H9">
    <cfRule type="expression" priority="9" dxfId="0">
      <formula>AND(ISNUMBER(H9),H9&gt;0.005)</formula>
    </cfRule>
    <cfRule type="expression" priority="10" dxfId="1">
      <formula>AND(ISNUMBER(H9),H9&lt;-0.005)</formula>
    </cfRule>
  </conditionalFormatting>
  <conditionalFormatting sqref="I9">
    <cfRule type="expression" priority="11" dxfId="1">
      <formula>AND(ISNUMBER(I9),I9&gt;0.005)</formula>
    </cfRule>
    <cfRule type="expression" priority="12" dxfId="0">
      <formula>AND(ISNUMBER(I9),I9&lt;-0.005)</formula>
    </cfRule>
  </conditionalFormatting>
  <conditionalFormatting sqref="J9">
    <cfRule type="expression" priority="13" dxfId="0">
      <formula>AND(ISNUMBER(J9),J9&gt;0.005)</formula>
    </cfRule>
    <cfRule type="expression" priority="14" dxfId="1">
      <formula>AND(ISNUMBER(J9),J9&lt;-0.005)</formula>
    </cfRule>
  </conditionalFormatting>
  <conditionalFormatting sqref="I13:I38">
    <cfRule type="colorScale" priority="15">
      <colorScale>
        <cfvo type="min"/>
        <cfvo type="percentile" val="50"/>
        <cfvo type="max"/>
        <color rgb="00D8F0E0"/>
        <color rgb="00FFFFFF"/>
        <color rgb="00F8D7D5"/>
      </colorScale>
    </cfRule>
  </conditionalFormatting>
  <conditionalFormatting sqref="I43:I54">
    <cfRule type="colorScale" priority="16">
      <colorScale>
        <cfvo type="min"/>
        <cfvo type="percentile" val="50"/>
        <cfvo type="max"/>
        <color rgb="00D8F0E0"/>
        <color rgb="00FFFFFF"/>
        <color rgb="00F8D7D5"/>
      </colorScale>
    </cfRule>
  </conditionalFormatting>
  <conditionalFormatting sqref="I59:I150">
    <cfRule type="colorScale" priority="17">
      <colorScale>
        <cfvo type="min"/>
        <cfvo type="percentile" val="50"/>
        <cfvo type="max"/>
        <color rgb="00D8F0E0"/>
        <color rgb="00FFFFFF"/>
        <color rgb="00F8D7D5"/>
      </colorScale>
    </cfRule>
  </conditionalFormatting>
  <dataValidations count="1">
    <dataValidation sqref="H3 J3" showDropDown="0" showInputMessage="0" showErrorMessage="0" allowBlank="1" promptTitle="Период" prompt="Дата. Пусто — текущий месяц." type="date" operator="greaterThan">
      <formula1>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BAF7A"/>
    <outlinePr summaryBelow="1" summaryRight="1"/>
    <pageSetUpPr/>
  </sheetPr>
  <dimension ref="A1:AM1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  <col width="3" customWidth="1" min="13" max="13"/>
  </cols>
  <sheetData>
    <row r="1" ht="34" customHeight="1">
      <c r="A1" s="1">
        <f>"Сова · "&amp;$B$3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</row>
    <row r="2">
      <c r="A2" s="3">
        <f>"Итоги всех кампаний кабинета VK Реклама · данные по "&amp;TEXT($E$3,"DD.MM.YYYY")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</row>
    <row r="3">
      <c r="A3" s="4" t="inlineStr">
        <is>
          <t>Направление</t>
        </is>
      </c>
      <c r="B3" s="5">
        <f>'⚙ Настройки'!$A$4</f>
        <v/>
      </c>
      <c r="D3" s="4" t="inlineStr">
        <is>
          <t>Данные по</t>
        </is>
      </c>
      <c r="E3" s="6">
        <f>'⚙ Настройки'!$B$7</f>
        <v/>
      </c>
      <c r="G3" s="7" t="inlineStr">
        <is>
          <t>Период с</t>
        </is>
      </c>
      <c r="H3" s="8" t="n"/>
      <c r="I3" s="7" t="inlineStr">
        <is>
          <t>по</t>
        </is>
      </c>
      <c r="J3" s="8" t="n"/>
      <c r="N3" s="9" t="inlineStr">
        <is>
          <t>📈 Подписки и расход по дням за период выше</t>
        </is>
      </c>
    </row>
    <row r="4">
      <c r="H4" s="10">
        <f>IF(AND(ISNUMBER(H3),ISNUMBER(J3),H3&gt;J3),"⚠ Дата «с» позже даты «по»",IF(OR(ISNUMBER(H3),ISNUMBER(J3)),"Сравнение — с предыдущим периодом той же длины. Очистите поля, чтобы вернуть текущий месяц.","Пусто — текущий месяц. Дату выбирают двойным щелчком."))</f>
        <v/>
      </c>
    </row>
    <row r="5">
      <c r="A5" s="9">
        <f>IF(OR(ISNUMBER($H$3),ISNUMBER($J$3)),"Выбранный период против предыдущего той же длины","Этот месяц против тех же дней прошлого")</f>
        <v/>
      </c>
    </row>
    <row r="6">
      <c r="A6" s="11" t="inlineStr">
        <is>
          <t>Период</t>
        </is>
      </c>
      <c r="B6" s="11" t="inlineStr">
        <is>
          <t>Расход</t>
        </is>
      </c>
      <c r="C6" s="11" t="inlineStr">
        <is>
          <t>Расход с НДС</t>
        </is>
      </c>
      <c r="D6" s="11" t="inlineStr">
        <is>
          <t>Показы</t>
        </is>
      </c>
      <c r="E6" s="11" t="inlineStr">
        <is>
          <t>Клики</t>
        </is>
      </c>
      <c r="F6" s="11" t="inlineStr">
        <is>
          <t>CTR</t>
        </is>
      </c>
      <c r="G6" s="11" t="inlineStr">
        <is>
          <t>CPC</t>
        </is>
      </c>
      <c r="H6" s="11" t="inlineStr">
        <is>
          <t>Подписки</t>
        </is>
      </c>
      <c r="I6" s="11" t="inlineStr">
        <is>
          <t>Цена подписки</t>
        </is>
      </c>
      <c r="J6" s="11" t="inlineStr">
        <is>
          <t>CR в подписку</t>
        </is>
      </c>
      <c r="K6" s="11" t="inlineStr">
        <is>
          <t>с</t>
        </is>
      </c>
      <c r="L6" s="11" t="inlineStr">
        <is>
          <t>по</t>
        </is>
      </c>
    </row>
    <row r="7" ht="26" customHeight="1">
      <c r="A7" s="12">
        <f>IF(OR(ISNUMBER($H$3),ISNUMBER($J$3)),"Выбранный период","Этот месяц")</f>
        <v/>
      </c>
      <c r="B7" s="13">
        <f>SUMIFS('Данные'!$C:$C,'Данные'!$A:$A,"&gt;="&amp;$K$7,'Данные'!$A:$A,"&lt;"&amp;$L$7+1,'Данные'!$B:$B,$B$3)</f>
        <v/>
      </c>
      <c r="C7" s="13">
        <f>B7*(100+22)/100</f>
        <v/>
      </c>
      <c r="D7" s="14">
        <f>SUMIFS('Данные'!$D:$D,'Данные'!$A:$A,"&gt;="&amp;$K$7,'Данные'!$A:$A,"&lt;"&amp;$L$7+1,'Данные'!$B:$B,$B$3)</f>
        <v/>
      </c>
      <c r="E7" s="14">
        <f>SUMIFS('Данные'!$E:$E,'Данные'!$A:$A,"&gt;="&amp;$K$7,'Данные'!$A:$A,"&lt;"&amp;$L$7+1,'Данные'!$B:$B,$B$3)</f>
        <v/>
      </c>
      <c r="F7" s="15">
        <f>IFERROR(E7/D7,"")</f>
        <v/>
      </c>
      <c r="G7" s="16">
        <f>IFERROR(B7/E7,"")</f>
        <v/>
      </c>
      <c r="H7" s="14">
        <f>SUMIFS('Данные'!$F:$F,'Данные'!$A:$A,"&gt;="&amp;$K$7,'Данные'!$A:$A,"&lt;"&amp;$L$7+1,'Данные'!$B:$B,$B$3)</f>
        <v/>
      </c>
      <c r="I7" s="16">
        <f>IFERROR(B7/H7,"")</f>
        <v/>
      </c>
      <c r="J7" s="17">
        <f>IFERROR(H7/E7,"")</f>
        <v/>
      </c>
      <c r="K7" s="18">
        <f>IF(ISNUMBER($H$3),$H$3,DATE(YEAR(L7),MONTH(L7),1))</f>
        <v/>
      </c>
      <c r="L7" s="18">
        <f>IF(ISNUMBER($J$3),$J$3,$E$3)</f>
        <v/>
      </c>
    </row>
    <row r="8">
      <c r="A8" s="19">
        <f>IF(OR(ISNUMBER($H$3),ISNUMBER($J$3)),"Предыдущий, той же длины","Прошлый, те же дни")</f>
        <v/>
      </c>
      <c r="B8" s="20">
        <f>SUMIFS('Данные'!$C:$C,'Данные'!$A:$A,"&gt;="&amp;$K$8,'Данные'!$A:$A,"&lt;"&amp;$L$8+1,'Данные'!$B:$B,$B$3)</f>
        <v/>
      </c>
      <c r="C8" s="20">
        <f>B8*(100+22)/100</f>
        <v/>
      </c>
      <c r="D8" s="21">
        <f>SUMIFS('Данные'!$D:$D,'Данные'!$A:$A,"&gt;="&amp;$K$8,'Данные'!$A:$A,"&lt;"&amp;$L$8+1,'Данные'!$B:$B,$B$3)</f>
        <v/>
      </c>
      <c r="E8" s="21">
        <f>SUMIFS('Данные'!$E:$E,'Данные'!$A:$A,"&gt;="&amp;$K$8,'Данные'!$A:$A,"&lt;"&amp;$L$8+1,'Данные'!$B:$B,$B$3)</f>
        <v/>
      </c>
      <c r="F8" s="22">
        <f>IFERROR(E8/D8,"")</f>
        <v/>
      </c>
      <c r="G8" s="23">
        <f>IFERROR(B8/E8,"")</f>
        <v/>
      </c>
      <c r="H8" s="21">
        <f>SUMIFS('Данные'!$F:$F,'Данные'!$A:$A,"&gt;="&amp;$K$8,'Данные'!$A:$A,"&lt;"&amp;$L$8+1,'Данные'!$B:$B,$B$3)</f>
        <v/>
      </c>
      <c r="I8" s="23">
        <f>IFERROR(B8/H8,"")</f>
        <v/>
      </c>
      <c r="J8" s="24">
        <f>IFERROR(H8/E8,"")</f>
        <v/>
      </c>
      <c r="K8" s="25">
        <f>IF(OR(ISNUMBER($H$3),ISNUMBER($J$3)),2*K7-L7-1,EDATE(K7,-1))</f>
        <v/>
      </c>
      <c r="L8" s="25">
        <f>IF(OR(ISNUMBER($H$3),ISNUMBER($J$3)),K7-1,EDATE(L7,-1))</f>
        <v/>
      </c>
    </row>
    <row r="9">
      <c r="A9" s="26" t="inlineStr">
        <is>
          <t>Изменение</t>
        </is>
      </c>
      <c r="B9" s="27">
        <f>IFERROR(B7/B8-1,"")</f>
        <v/>
      </c>
      <c r="C9" s="27">
        <f>IFERROR(C7/C8-1,"")</f>
        <v/>
      </c>
      <c r="D9" s="27">
        <f>IFERROR(D7/D8-1,"")</f>
        <v/>
      </c>
      <c r="E9" s="27">
        <f>IFERROR(E7/E8-1,"")</f>
        <v/>
      </c>
      <c r="F9" s="27">
        <f>IFERROR(F7/F8-1,"")</f>
        <v/>
      </c>
      <c r="G9" s="27">
        <f>IFERROR(G7/G8-1,"")</f>
        <v/>
      </c>
      <c r="H9" s="27">
        <f>IFERROR(H7/H8-1,"")</f>
        <v/>
      </c>
      <c r="I9" s="27">
        <f>IFERROR(I7/I8-1,"")</f>
        <v/>
      </c>
      <c r="J9" s="27">
        <f>IFERROR(J7/J8-1,"")</f>
        <v/>
      </c>
      <c r="K9" s="28" t="n"/>
      <c r="L9" s="28" t="n"/>
    </row>
    <row r="11">
      <c r="A11" s="9" t="inlineStr">
        <is>
          <t>🗓 По завершённым неделям (26)</t>
        </is>
      </c>
    </row>
    <row r="12">
      <c r="A12" s="11" t="inlineStr">
        <is>
          <t>Неделя</t>
        </is>
      </c>
      <c r="B12" s="11" t="inlineStr">
        <is>
          <t>Расход</t>
        </is>
      </c>
      <c r="C12" s="11" t="inlineStr">
        <is>
          <t>Расход с НДС</t>
        </is>
      </c>
      <c r="D12" s="11" t="inlineStr">
        <is>
          <t>Показы</t>
        </is>
      </c>
      <c r="E12" s="11" t="inlineStr">
        <is>
          <t>Клики</t>
        </is>
      </c>
      <c r="F12" s="11" t="inlineStr">
        <is>
          <t>CTR</t>
        </is>
      </c>
      <c r="G12" s="11" t="inlineStr">
        <is>
          <t>CPC</t>
        </is>
      </c>
      <c r="H12" s="11" t="inlineStr">
        <is>
          <t>Подписки</t>
        </is>
      </c>
      <c r="I12" s="11" t="inlineStr">
        <is>
          <t>Цена подписки</t>
        </is>
      </c>
      <c r="J12" s="11" t="inlineStr">
        <is>
          <t>CR в подписку</t>
        </is>
      </c>
    </row>
    <row r="13">
      <c r="A13" s="29">
        <f>TEXT((($E$3-WEEKDAY($E$3,2)+1-7*(WEEKDAY($E$3,2)&lt;7))-7*25),"DD.MM")&amp;"–"&amp;TEXT((($E$3-WEEKDAY($E$3,2)+1-7*(WEEKDAY($E$3,2)&lt;7))-7*25)+6,"DD.MM.YYYY")</f>
        <v/>
      </c>
      <c r="B13" s="30">
        <f>SUMIFS('Данные'!$C:$C,'Данные'!$A:$A,"&gt;="&amp;(($E$3-WEEKDAY($E$3,2)+1-7*(WEEKDAY($E$3,2)&lt;7))-7*25),'Данные'!$A:$A,"&lt;"&amp;((($E$3-WEEKDAY($E$3,2)+1-7*(WEEKDAY($E$3,2)&lt;7))-7*25)+6)+1,'Данные'!$B:$B,$B$3)</f>
        <v/>
      </c>
      <c r="C13" s="30">
        <f>B13*(100+22)/100</f>
        <v/>
      </c>
      <c r="D13" s="31">
        <f>SUMIFS('Данные'!$D:$D,'Данные'!$A:$A,"&gt;="&amp;(($E$3-WEEKDAY($E$3,2)+1-7*(WEEKDAY($E$3,2)&lt;7))-7*25),'Данные'!$A:$A,"&lt;"&amp;((($E$3-WEEKDAY($E$3,2)+1-7*(WEEKDAY($E$3,2)&lt;7))-7*25)+6)+1,'Данные'!$B:$B,$B$3)</f>
        <v/>
      </c>
      <c r="E13" s="31">
        <f>SUMIFS('Данные'!$E:$E,'Данные'!$A:$A,"&gt;="&amp;(($E$3-WEEKDAY($E$3,2)+1-7*(WEEKDAY($E$3,2)&lt;7))-7*25),'Данные'!$A:$A,"&lt;"&amp;((($E$3-WEEKDAY($E$3,2)+1-7*(WEEKDAY($E$3,2)&lt;7))-7*25)+6)+1,'Данные'!$B:$B,$B$3)</f>
        <v/>
      </c>
      <c r="F13" s="32">
        <f>IFERROR(E13/D13,"")</f>
        <v/>
      </c>
      <c r="G13" s="33">
        <f>IFERROR(B13/E13,"")</f>
        <v/>
      </c>
      <c r="H13" s="31">
        <f>SUMIFS('Данные'!$F:$F,'Данные'!$A:$A,"&gt;="&amp;(($E$3-WEEKDAY($E$3,2)+1-7*(WEEKDAY($E$3,2)&lt;7))-7*25),'Данные'!$A:$A,"&lt;"&amp;((($E$3-WEEKDAY($E$3,2)+1-7*(WEEKDAY($E$3,2)&lt;7))-7*25)+6)+1,'Данные'!$B:$B,$B$3)</f>
        <v/>
      </c>
      <c r="I13" s="33">
        <f>IFERROR(B13/H13,"")</f>
        <v/>
      </c>
      <c r="J13" s="34">
        <f>IFERROR(H13/E13,"")</f>
        <v/>
      </c>
    </row>
    <row r="14">
      <c r="A14" s="36">
        <f>TEXT((($E$3-WEEKDAY($E$3,2)+1-7*(WEEKDAY($E$3,2)&lt;7))-7*24),"DD.MM")&amp;"–"&amp;TEXT((($E$3-WEEKDAY($E$3,2)+1-7*(WEEKDAY($E$3,2)&lt;7))-7*24)+6,"DD.MM.YYYY")</f>
        <v/>
      </c>
      <c r="B14" s="37">
        <f>SUMIFS('Данные'!$C:$C,'Данные'!$A:$A,"&gt;="&amp;(($E$3-WEEKDAY($E$3,2)+1-7*(WEEKDAY($E$3,2)&lt;7))-7*24),'Данные'!$A:$A,"&lt;"&amp;((($E$3-WEEKDAY($E$3,2)+1-7*(WEEKDAY($E$3,2)&lt;7))-7*24)+6)+1,'Данные'!$B:$B,$B$3)</f>
        <v/>
      </c>
      <c r="C14" s="37">
        <f>B14*(100+22)/100</f>
        <v/>
      </c>
      <c r="D14" s="38">
        <f>SUMIFS('Данные'!$D:$D,'Данные'!$A:$A,"&gt;="&amp;(($E$3-WEEKDAY($E$3,2)+1-7*(WEEKDAY($E$3,2)&lt;7))-7*24),'Данные'!$A:$A,"&lt;"&amp;((($E$3-WEEKDAY($E$3,2)+1-7*(WEEKDAY($E$3,2)&lt;7))-7*24)+6)+1,'Данные'!$B:$B,$B$3)</f>
        <v/>
      </c>
      <c r="E14" s="38">
        <f>SUMIFS('Данные'!$E:$E,'Данные'!$A:$A,"&gt;="&amp;(($E$3-WEEKDAY($E$3,2)+1-7*(WEEKDAY($E$3,2)&lt;7))-7*24),'Данные'!$A:$A,"&lt;"&amp;((($E$3-WEEKDAY($E$3,2)+1-7*(WEEKDAY($E$3,2)&lt;7))-7*24)+6)+1,'Данные'!$B:$B,$B$3)</f>
        <v/>
      </c>
      <c r="F14" s="39">
        <f>IFERROR(E14/D14,"")</f>
        <v/>
      </c>
      <c r="G14" s="40">
        <f>IFERROR(B14/E14,"")</f>
        <v/>
      </c>
      <c r="H14" s="38">
        <f>SUMIFS('Данные'!$F:$F,'Данные'!$A:$A,"&gt;="&amp;(($E$3-WEEKDAY($E$3,2)+1-7*(WEEKDAY($E$3,2)&lt;7))-7*24),'Данные'!$A:$A,"&lt;"&amp;((($E$3-WEEKDAY($E$3,2)+1-7*(WEEKDAY($E$3,2)&lt;7))-7*24)+6)+1,'Данные'!$B:$B,$B$3)</f>
        <v/>
      </c>
      <c r="I14" s="40">
        <f>IFERROR(B14/H14,"")</f>
        <v/>
      </c>
      <c r="J14" s="41">
        <f>IFERROR(H14/E14,"")</f>
        <v/>
      </c>
    </row>
    <row r="15">
      <c r="A15" s="29">
        <f>TEXT((($E$3-WEEKDAY($E$3,2)+1-7*(WEEKDAY($E$3,2)&lt;7))-7*23),"DD.MM")&amp;"–"&amp;TEXT((($E$3-WEEKDAY($E$3,2)+1-7*(WEEKDAY($E$3,2)&lt;7))-7*23)+6,"DD.MM.YYYY")</f>
        <v/>
      </c>
      <c r="B15" s="30">
        <f>SUMIFS('Данные'!$C:$C,'Данные'!$A:$A,"&gt;="&amp;(($E$3-WEEKDAY($E$3,2)+1-7*(WEEKDAY($E$3,2)&lt;7))-7*23),'Данные'!$A:$A,"&lt;"&amp;((($E$3-WEEKDAY($E$3,2)+1-7*(WEEKDAY($E$3,2)&lt;7))-7*23)+6)+1,'Данные'!$B:$B,$B$3)</f>
        <v/>
      </c>
      <c r="C15" s="30">
        <f>B15*(100+22)/100</f>
        <v/>
      </c>
      <c r="D15" s="31">
        <f>SUMIFS('Данные'!$D:$D,'Данные'!$A:$A,"&gt;="&amp;(($E$3-WEEKDAY($E$3,2)+1-7*(WEEKDAY($E$3,2)&lt;7))-7*23),'Данные'!$A:$A,"&lt;"&amp;((($E$3-WEEKDAY($E$3,2)+1-7*(WEEKDAY($E$3,2)&lt;7))-7*23)+6)+1,'Данные'!$B:$B,$B$3)</f>
        <v/>
      </c>
      <c r="E15" s="31">
        <f>SUMIFS('Данные'!$E:$E,'Данные'!$A:$A,"&gt;="&amp;(($E$3-WEEKDAY($E$3,2)+1-7*(WEEKDAY($E$3,2)&lt;7))-7*23),'Данные'!$A:$A,"&lt;"&amp;((($E$3-WEEKDAY($E$3,2)+1-7*(WEEKDAY($E$3,2)&lt;7))-7*23)+6)+1,'Данные'!$B:$B,$B$3)</f>
        <v/>
      </c>
      <c r="F15" s="32">
        <f>IFERROR(E15/D15,"")</f>
        <v/>
      </c>
      <c r="G15" s="33">
        <f>IFERROR(B15/E15,"")</f>
        <v/>
      </c>
      <c r="H15" s="31">
        <f>SUMIFS('Данные'!$F:$F,'Данные'!$A:$A,"&gt;="&amp;(($E$3-WEEKDAY($E$3,2)+1-7*(WEEKDAY($E$3,2)&lt;7))-7*23),'Данные'!$A:$A,"&lt;"&amp;((($E$3-WEEKDAY($E$3,2)+1-7*(WEEKDAY($E$3,2)&lt;7))-7*23)+6)+1,'Данные'!$B:$B,$B$3)</f>
        <v/>
      </c>
      <c r="I15" s="33">
        <f>IFERROR(B15/H15,"")</f>
        <v/>
      </c>
      <c r="J15" s="34">
        <f>IFERROR(H15/E15,"")</f>
        <v/>
      </c>
    </row>
    <row r="16">
      <c r="A16" s="36">
        <f>TEXT((($E$3-WEEKDAY($E$3,2)+1-7*(WEEKDAY($E$3,2)&lt;7))-7*22),"DD.MM")&amp;"–"&amp;TEXT((($E$3-WEEKDAY($E$3,2)+1-7*(WEEKDAY($E$3,2)&lt;7))-7*22)+6,"DD.MM.YYYY")</f>
        <v/>
      </c>
      <c r="B16" s="37">
        <f>SUMIFS('Данные'!$C:$C,'Данные'!$A:$A,"&gt;="&amp;(($E$3-WEEKDAY($E$3,2)+1-7*(WEEKDAY($E$3,2)&lt;7))-7*22),'Данные'!$A:$A,"&lt;"&amp;((($E$3-WEEKDAY($E$3,2)+1-7*(WEEKDAY($E$3,2)&lt;7))-7*22)+6)+1,'Данные'!$B:$B,$B$3)</f>
        <v/>
      </c>
      <c r="C16" s="37">
        <f>B16*(100+22)/100</f>
        <v/>
      </c>
      <c r="D16" s="38">
        <f>SUMIFS('Данные'!$D:$D,'Данные'!$A:$A,"&gt;="&amp;(($E$3-WEEKDAY($E$3,2)+1-7*(WEEKDAY($E$3,2)&lt;7))-7*22),'Данные'!$A:$A,"&lt;"&amp;((($E$3-WEEKDAY($E$3,2)+1-7*(WEEKDAY($E$3,2)&lt;7))-7*22)+6)+1,'Данные'!$B:$B,$B$3)</f>
        <v/>
      </c>
      <c r="E16" s="38">
        <f>SUMIFS('Данные'!$E:$E,'Данные'!$A:$A,"&gt;="&amp;(($E$3-WEEKDAY($E$3,2)+1-7*(WEEKDAY($E$3,2)&lt;7))-7*22),'Данные'!$A:$A,"&lt;"&amp;((($E$3-WEEKDAY($E$3,2)+1-7*(WEEKDAY($E$3,2)&lt;7))-7*22)+6)+1,'Данные'!$B:$B,$B$3)</f>
        <v/>
      </c>
      <c r="F16" s="39">
        <f>IFERROR(E16/D16,"")</f>
        <v/>
      </c>
      <c r="G16" s="40">
        <f>IFERROR(B16/E16,"")</f>
        <v/>
      </c>
      <c r="H16" s="38">
        <f>SUMIFS('Данные'!$F:$F,'Данные'!$A:$A,"&gt;="&amp;(($E$3-WEEKDAY($E$3,2)+1-7*(WEEKDAY($E$3,2)&lt;7))-7*22),'Данные'!$A:$A,"&lt;"&amp;((($E$3-WEEKDAY($E$3,2)+1-7*(WEEKDAY($E$3,2)&lt;7))-7*22)+6)+1,'Данные'!$B:$B,$B$3)</f>
        <v/>
      </c>
      <c r="I16" s="40">
        <f>IFERROR(B16/H16,"")</f>
        <v/>
      </c>
      <c r="J16" s="41">
        <f>IFERROR(H16/E16,"")</f>
        <v/>
      </c>
    </row>
    <row r="17">
      <c r="A17" s="29">
        <f>TEXT((($E$3-WEEKDAY($E$3,2)+1-7*(WEEKDAY($E$3,2)&lt;7))-7*21),"DD.MM")&amp;"–"&amp;TEXT((($E$3-WEEKDAY($E$3,2)+1-7*(WEEKDAY($E$3,2)&lt;7))-7*21)+6,"DD.MM.YYYY")</f>
        <v/>
      </c>
      <c r="B17" s="30">
        <f>SUMIFS('Данные'!$C:$C,'Данные'!$A:$A,"&gt;="&amp;(($E$3-WEEKDAY($E$3,2)+1-7*(WEEKDAY($E$3,2)&lt;7))-7*21),'Данные'!$A:$A,"&lt;"&amp;((($E$3-WEEKDAY($E$3,2)+1-7*(WEEKDAY($E$3,2)&lt;7))-7*21)+6)+1,'Данные'!$B:$B,$B$3)</f>
        <v/>
      </c>
      <c r="C17" s="30">
        <f>B17*(100+22)/100</f>
        <v/>
      </c>
      <c r="D17" s="31">
        <f>SUMIFS('Данные'!$D:$D,'Данные'!$A:$A,"&gt;="&amp;(($E$3-WEEKDAY($E$3,2)+1-7*(WEEKDAY($E$3,2)&lt;7))-7*21),'Данные'!$A:$A,"&lt;"&amp;((($E$3-WEEKDAY($E$3,2)+1-7*(WEEKDAY($E$3,2)&lt;7))-7*21)+6)+1,'Данные'!$B:$B,$B$3)</f>
        <v/>
      </c>
      <c r="E17" s="31">
        <f>SUMIFS('Данные'!$E:$E,'Данные'!$A:$A,"&gt;="&amp;(($E$3-WEEKDAY($E$3,2)+1-7*(WEEKDAY($E$3,2)&lt;7))-7*21),'Данные'!$A:$A,"&lt;"&amp;((($E$3-WEEKDAY($E$3,2)+1-7*(WEEKDAY($E$3,2)&lt;7))-7*21)+6)+1,'Данные'!$B:$B,$B$3)</f>
        <v/>
      </c>
      <c r="F17" s="32">
        <f>IFERROR(E17/D17,"")</f>
        <v/>
      </c>
      <c r="G17" s="33">
        <f>IFERROR(B17/E17,"")</f>
        <v/>
      </c>
      <c r="H17" s="31">
        <f>SUMIFS('Данные'!$F:$F,'Данные'!$A:$A,"&gt;="&amp;(($E$3-WEEKDAY($E$3,2)+1-7*(WEEKDAY($E$3,2)&lt;7))-7*21),'Данные'!$A:$A,"&lt;"&amp;((($E$3-WEEKDAY($E$3,2)+1-7*(WEEKDAY($E$3,2)&lt;7))-7*21)+6)+1,'Данные'!$B:$B,$B$3)</f>
        <v/>
      </c>
      <c r="I17" s="33">
        <f>IFERROR(B17/H17,"")</f>
        <v/>
      </c>
      <c r="J17" s="34">
        <f>IFERROR(H17/E17,"")</f>
        <v/>
      </c>
    </row>
    <row r="18">
      <c r="A18" s="36">
        <f>TEXT((($E$3-WEEKDAY($E$3,2)+1-7*(WEEKDAY($E$3,2)&lt;7))-7*20),"DD.MM")&amp;"–"&amp;TEXT((($E$3-WEEKDAY($E$3,2)+1-7*(WEEKDAY($E$3,2)&lt;7))-7*20)+6,"DD.MM.YYYY")</f>
        <v/>
      </c>
      <c r="B18" s="37">
        <f>SUMIFS('Данные'!$C:$C,'Данные'!$A:$A,"&gt;="&amp;(($E$3-WEEKDAY($E$3,2)+1-7*(WEEKDAY($E$3,2)&lt;7))-7*20),'Данные'!$A:$A,"&lt;"&amp;((($E$3-WEEKDAY($E$3,2)+1-7*(WEEKDAY($E$3,2)&lt;7))-7*20)+6)+1,'Данные'!$B:$B,$B$3)</f>
        <v/>
      </c>
      <c r="C18" s="37">
        <f>B18*(100+22)/100</f>
        <v/>
      </c>
      <c r="D18" s="38">
        <f>SUMIFS('Данные'!$D:$D,'Данные'!$A:$A,"&gt;="&amp;(($E$3-WEEKDAY($E$3,2)+1-7*(WEEKDAY($E$3,2)&lt;7))-7*20),'Данные'!$A:$A,"&lt;"&amp;((($E$3-WEEKDAY($E$3,2)+1-7*(WEEKDAY($E$3,2)&lt;7))-7*20)+6)+1,'Данные'!$B:$B,$B$3)</f>
        <v/>
      </c>
      <c r="E18" s="38">
        <f>SUMIFS('Данные'!$E:$E,'Данные'!$A:$A,"&gt;="&amp;(($E$3-WEEKDAY($E$3,2)+1-7*(WEEKDAY($E$3,2)&lt;7))-7*20),'Данные'!$A:$A,"&lt;"&amp;((($E$3-WEEKDAY($E$3,2)+1-7*(WEEKDAY($E$3,2)&lt;7))-7*20)+6)+1,'Данные'!$B:$B,$B$3)</f>
        <v/>
      </c>
      <c r="F18" s="39">
        <f>IFERROR(E18/D18,"")</f>
        <v/>
      </c>
      <c r="G18" s="40">
        <f>IFERROR(B18/E18,"")</f>
        <v/>
      </c>
      <c r="H18" s="38">
        <f>SUMIFS('Данные'!$F:$F,'Данные'!$A:$A,"&gt;="&amp;(($E$3-WEEKDAY($E$3,2)+1-7*(WEEKDAY($E$3,2)&lt;7))-7*20),'Данные'!$A:$A,"&lt;"&amp;((($E$3-WEEKDAY($E$3,2)+1-7*(WEEKDAY($E$3,2)&lt;7))-7*20)+6)+1,'Данные'!$B:$B,$B$3)</f>
        <v/>
      </c>
      <c r="I18" s="40">
        <f>IFERROR(B18/H18,"")</f>
        <v/>
      </c>
      <c r="J18" s="41">
        <f>IFERROR(H18/E18,"")</f>
        <v/>
      </c>
    </row>
    <row r="19">
      <c r="A19" s="29">
        <f>TEXT((($E$3-WEEKDAY($E$3,2)+1-7*(WEEKDAY($E$3,2)&lt;7))-7*19),"DD.MM")&amp;"–"&amp;TEXT((($E$3-WEEKDAY($E$3,2)+1-7*(WEEKDAY($E$3,2)&lt;7))-7*19)+6,"DD.MM.YYYY")</f>
        <v/>
      </c>
      <c r="B19" s="30">
        <f>SUMIFS('Данные'!$C:$C,'Данные'!$A:$A,"&gt;="&amp;(($E$3-WEEKDAY($E$3,2)+1-7*(WEEKDAY($E$3,2)&lt;7))-7*19),'Данные'!$A:$A,"&lt;"&amp;((($E$3-WEEKDAY($E$3,2)+1-7*(WEEKDAY($E$3,2)&lt;7))-7*19)+6)+1,'Данные'!$B:$B,$B$3)</f>
        <v/>
      </c>
      <c r="C19" s="30">
        <f>B19*(100+22)/100</f>
        <v/>
      </c>
      <c r="D19" s="31">
        <f>SUMIFS('Данные'!$D:$D,'Данные'!$A:$A,"&gt;="&amp;(($E$3-WEEKDAY($E$3,2)+1-7*(WEEKDAY($E$3,2)&lt;7))-7*19),'Данные'!$A:$A,"&lt;"&amp;((($E$3-WEEKDAY($E$3,2)+1-7*(WEEKDAY($E$3,2)&lt;7))-7*19)+6)+1,'Данные'!$B:$B,$B$3)</f>
        <v/>
      </c>
      <c r="E19" s="31">
        <f>SUMIFS('Данные'!$E:$E,'Данные'!$A:$A,"&gt;="&amp;(($E$3-WEEKDAY($E$3,2)+1-7*(WEEKDAY($E$3,2)&lt;7))-7*19),'Данные'!$A:$A,"&lt;"&amp;((($E$3-WEEKDAY($E$3,2)+1-7*(WEEKDAY($E$3,2)&lt;7))-7*19)+6)+1,'Данные'!$B:$B,$B$3)</f>
        <v/>
      </c>
      <c r="F19" s="32">
        <f>IFERROR(E19/D19,"")</f>
        <v/>
      </c>
      <c r="G19" s="33">
        <f>IFERROR(B19/E19,"")</f>
        <v/>
      </c>
      <c r="H19" s="31">
        <f>SUMIFS('Данные'!$F:$F,'Данные'!$A:$A,"&gt;="&amp;(($E$3-WEEKDAY($E$3,2)+1-7*(WEEKDAY($E$3,2)&lt;7))-7*19),'Данные'!$A:$A,"&lt;"&amp;((($E$3-WEEKDAY($E$3,2)+1-7*(WEEKDAY($E$3,2)&lt;7))-7*19)+6)+1,'Данные'!$B:$B,$B$3)</f>
        <v/>
      </c>
      <c r="I19" s="33">
        <f>IFERROR(B19/H19,"")</f>
        <v/>
      </c>
      <c r="J19" s="34">
        <f>IFERROR(H19/E19,"")</f>
        <v/>
      </c>
    </row>
    <row r="20">
      <c r="A20" s="36">
        <f>TEXT((($E$3-WEEKDAY($E$3,2)+1-7*(WEEKDAY($E$3,2)&lt;7))-7*18),"DD.MM")&amp;"–"&amp;TEXT((($E$3-WEEKDAY($E$3,2)+1-7*(WEEKDAY($E$3,2)&lt;7))-7*18)+6,"DD.MM.YYYY")</f>
        <v/>
      </c>
      <c r="B20" s="37">
        <f>SUMIFS('Данные'!$C:$C,'Данные'!$A:$A,"&gt;="&amp;(($E$3-WEEKDAY($E$3,2)+1-7*(WEEKDAY($E$3,2)&lt;7))-7*18),'Данные'!$A:$A,"&lt;"&amp;((($E$3-WEEKDAY($E$3,2)+1-7*(WEEKDAY($E$3,2)&lt;7))-7*18)+6)+1,'Данные'!$B:$B,$B$3)</f>
        <v/>
      </c>
      <c r="C20" s="37">
        <f>B20*(100+22)/100</f>
        <v/>
      </c>
      <c r="D20" s="38">
        <f>SUMIFS('Данные'!$D:$D,'Данные'!$A:$A,"&gt;="&amp;(($E$3-WEEKDAY($E$3,2)+1-7*(WEEKDAY($E$3,2)&lt;7))-7*18),'Данные'!$A:$A,"&lt;"&amp;((($E$3-WEEKDAY($E$3,2)+1-7*(WEEKDAY($E$3,2)&lt;7))-7*18)+6)+1,'Данные'!$B:$B,$B$3)</f>
        <v/>
      </c>
      <c r="E20" s="38">
        <f>SUMIFS('Данные'!$E:$E,'Данные'!$A:$A,"&gt;="&amp;(($E$3-WEEKDAY($E$3,2)+1-7*(WEEKDAY($E$3,2)&lt;7))-7*18),'Данные'!$A:$A,"&lt;"&amp;((($E$3-WEEKDAY($E$3,2)+1-7*(WEEKDAY($E$3,2)&lt;7))-7*18)+6)+1,'Данные'!$B:$B,$B$3)</f>
        <v/>
      </c>
      <c r="F20" s="39">
        <f>IFERROR(E20/D20,"")</f>
        <v/>
      </c>
      <c r="G20" s="40">
        <f>IFERROR(B20/E20,"")</f>
        <v/>
      </c>
      <c r="H20" s="38">
        <f>SUMIFS('Данные'!$F:$F,'Данные'!$A:$A,"&gt;="&amp;(($E$3-WEEKDAY($E$3,2)+1-7*(WEEKDAY($E$3,2)&lt;7))-7*18),'Данные'!$A:$A,"&lt;"&amp;((($E$3-WEEKDAY($E$3,2)+1-7*(WEEKDAY($E$3,2)&lt;7))-7*18)+6)+1,'Данные'!$B:$B,$B$3)</f>
        <v/>
      </c>
      <c r="I20" s="40">
        <f>IFERROR(B20/H20,"")</f>
        <v/>
      </c>
      <c r="J20" s="41">
        <f>IFERROR(H20/E20,"")</f>
        <v/>
      </c>
    </row>
    <row r="21">
      <c r="A21" s="29">
        <f>TEXT((($E$3-WEEKDAY($E$3,2)+1-7*(WEEKDAY($E$3,2)&lt;7))-7*17),"DD.MM")&amp;"–"&amp;TEXT((($E$3-WEEKDAY($E$3,2)+1-7*(WEEKDAY($E$3,2)&lt;7))-7*17)+6,"DD.MM.YYYY")</f>
        <v/>
      </c>
      <c r="B21" s="30">
        <f>SUMIFS('Данные'!$C:$C,'Данные'!$A:$A,"&gt;="&amp;(($E$3-WEEKDAY($E$3,2)+1-7*(WEEKDAY($E$3,2)&lt;7))-7*17),'Данные'!$A:$A,"&lt;"&amp;((($E$3-WEEKDAY($E$3,2)+1-7*(WEEKDAY($E$3,2)&lt;7))-7*17)+6)+1,'Данные'!$B:$B,$B$3)</f>
        <v/>
      </c>
      <c r="C21" s="30">
        <f>B21*(100+22)/100</f>
        <v/>
      </c>
      <c r="D21" s="31">
        <f>SUMIFS('Данные'!$D:$D,'Данные'!$A:$A,"&gt;="&amp;(($E$3-WEEKDAY($E$3,2)+1-7*(WEEKDAY($E$3,2)&lt;7))-7*17),'Данные'!$A:$A,"&lt;"&amp;((($E$3-WEEKDAY($E$3,2)+1-7*(WEEKDAY($E$3,2)&lt;7))-7*17)+6)+1,'Данные'!$B:$B,$B$3)</f>
        <v/>
      </c>
      <c r="E21" s="31">
        <f>SUMIFS('Данные'!$E:$E,'Данные'!$A:$A,"&gt;="&amp;(($E$3-WEEKDAY($E$3,2)+1-7*(WEEKDAY($E$3,2)&lt;7))-7*17),'Данные'!$A:$A,"&lt;"&amp;((($E$3-WEEKDAY($E$3,2)+1-7*(WEEKDAY($E$3,2)&lt;7))-7*17)+6)+1,'Данные'!$B:$B,$B$3)</f>
        <v/>
      </c>
      <c r="F21" s="32">
        <f>IFERROR(E21/D21,"")</f>
        <v/>
      </c>
      <c r="G21" s="33">
        <f>IFERROR(B21/E21,"")</f>
        <v/>
      </c>
      <c r="H21" s="31">
        <f>SUMIFS('Данные'!$F:$F,'Данные'!$A:$A,"&gt;="&amp;(($E$3-WEEKDAY($E$3,2)+1-7*(WEEKDAY($E$3,2)&lt;7))-7*17),'Данные'!$A:$A,"&lt;"&amp;((($E$3-WEEKDAY($E$3,2)+1-7*(WEEKDAY($E$3,2)&lt;7))-7*17)+6)+1,'Данные'!$B:$B,$B$3)</f>
        <v/>
      </c>
      <c r="I21" s="33">
        <f>IFERROR(B21/H21,"")</f>
        <v/>
      </c>
      <c r="J21" s="34">
        <f>IFERROR(H21/E21,"")</f>
        <v/>
      </c>
    </row>
    <row r="22">
      <c r="A22" s="36">
        <f>TEXT((($E$3-WEEKDAY($E$3,2)+1-7*(WEEKDAY($E$3,2)&lt;7))-7*16),"DD.MM")&amp;"–"&amp;TEXT((($E$3-WEEKDAY($E$3,2)+1-7*(WEEKDAY($E$3,2)&lt;7))-7*16)+6,"DD.MM.YYYY")</f>
        <v/>
      </c>
      <c r="B22" s="37">
        <f>SUMIFS('Данные'!$C:$C,'Данные'!$A:$A,"&gt;="&amp;(($E$3-WEEKDAY($E$3,2)+1-7*(WEEKDAY($E$3,2)&lt;7))-7*16),'Данные'!$A:$A,"&lt;"&amp;((($E$3-WEEKDAY($E$3,2)+1-7*(WEEKDAY($E$3,2)&lt;7))-7*16)+6)+1,'Данные'!$B:$B,$B$3)</f>
        <v/>
      </c>
      <c r="C22" s="37">
        <f>B22*(100+22)/100</f>
        <v/>
      </c>
      <c r="D22" s="38">
        <f>SUMIFS('Данные'!$D:$D,'Данные'!$A:$A,"&gt;="&amp;(($E$3-WEEKDAY($E$3,2)+1-7*(WEEKDAY($E$3,2)&lt;7))-7*16),'Данные'!$A:$A,"&lt;"&amp;((($E$3-WEEKDAY($E$3,2)+1-7*(WEEKDAY($E$3,2)&lt;7))-7*16)+6)+1,'Данные'!$B:$B,$B$3)</f>
        <v/>
      </c>
      <c r="E22" s="38">
        <f>SUMIFS('Данные'!$E:$E,'Данные'!$A:$A,"&gt;="&amp;(($E$3-WEEKDAY($E$3,2)+1-7*(WEEKDAY($E$3,2)&lt;7))-7*16),'Данные'!$A:$A,"&lt;"&amp;((($E$3-WEEKDAY($E$3,2)+1-7*(WEEKDAY($E$3,2)&lt;7))-7*16)+6)+1,'Данные'!$B:$B,$B$3)</f>
        <v/>
      </c>
      <c r="F22" s="39">
        <f>IFERROR(E22/D22,"")</f>
        <v/>
      </c>
      <c r="G22" s="40">
        <f>IFERROR(B22/E22,"")</f>
        <v/>
      </c>
      <c r="H22" s="38">
        <f>SUMIFS('Данные'!$F:$F,'Данные'!$A:$A,"&gt;="&amp;(($E$3-WEEKDAY($E$3,2)+1-7*(WEEKDAY($E$3,2)&lt;7))-7*16),'Данные'!$A:$A,"&lt;"&amp;((($E$3-WEEKDAY($E$3,2)+1-7*(WEEKDAY($E$3,2)&lt;7))-7*16)+6)+1,'Данные'!$B:$B,$B$3)</f>
        <v/>
      </c>
      <c r="I22" s="40">
        <f>IFERROR(B22/H22,"")</f>
        <v/>
      </c>
      <c r="J22" s="41">
        <f>IFERROR(H22/E22,"")</f>
        <v/>
      </c>
    </row>
    <row r="23">
      <c r="A23" s="29">
        <f>TEXT((($E$3-WEEKDAY($E$3,2)+1-7*(WEEKDAY($E$3,2)&lt;7))-7*15),"DD.MM")&amp;"–"&amp;TEXT((($E$3-WEEKDAY($E$3,2)+1-7*(WEEKDAY($E$3,2)&lt;7))-7*15)+6,"DD.MM.YYYY")</f>
        <v/>
      </c>
      <c r="B23" s="30">
        <f>SUMIFS('Данные'!$C:$C,'Данные'!$A:$A,"&gt;="&amp;(($E$3-WEEKDAY($E$3,2)+1-7*(WEEKDAY($E$3,2)&lt;7))-7*15),'Данные'!$A:$A,"&lt;"&amp;((($E$3-WEEKDAY($E$3,2)+1-7*(WEEKDAY($E$3,2)&lt;7))-7*15)+6)+1,'Данные'!$B:$B,$B$3)</f>
        <v/>
      </c>
      <c r="C23" s="30">
        <f>B23*(100+22)/100</f>
        <v/>
      </c>
      <c r="D23" s="31">
        <f>SUMIFS('Данные'!$D:$D,'Данные'!$A:$A,"&gt;="&amp;(($E$3-WEEKDAY($E$3,2)+1-7*(WEEKDAY($E$3,2)&lt;7))-7*15),'Данные'!$A:$A,"&lt;"&amp;((($E$3-WEEKDAY($E$3,2)+1-7*(WEEKDAY($E$3,2)&lt;7))-7*15)+6)+1,'Данные'!$B:$B,$B$3)</f>
        <v/>
      </c>
      <c r="E23" s="31">
        <f>SUMIFS('Данные'!$E:$E,'Данные'!$A:$A,"&gt;="&amp;(($E$3-WEEKDAY($E$3,2)+1-7*(WEEKDAY($E$3,2)&lt;7))-7*15),'Данные'!$A:$A,"&lt;"&amp;((($E$3-WEEKDAY($E$3,2)+1-7*(WEEKDAY($E$3,2)&lt;7))-7*15)+6)+1,'Данные'!$B:$B,$B$3)</f>
        <v/>
      </c>
      <c r="F23" s="32">
        <f>IFERROR(E23/D23,"")</f>
        <v/>
      </c>
      <c r="G23" s="33">
        <f>IFERROR(B23/E23,"")</f>
        <v/>
      </c>
      <c r="H23" s="31">
        <f>SUMIFS('Данные'!$F:$F,'Данные'!$A:$A,"&gt;="&amp;(($E$3-WEEKDAY($E$3,2)+1-7*(WEEKDAY($E$3,2)&lt;7))-7*15),'Данные'!$A:$A,"&lt;"&amp;((($E$3-WEEKDAY($E$3,2)+1-7*(WEEKDAY($E$3,2)&lt;7))-7*15)+6)+1,'Данные'!$B:$B,$B$3)</f>
        <v/>
      </c>
      <c r="I23" s="33">
        <f>IFERROR(B23/H23,"")</f>
        <v/>
      </c>
      <c r="J23" s="34">
        <f>IFERROR(H23/E23,"")</f>
        <v/>
      </c>
    </row>
    <row r="24">
      <c r="A24" s="36">
        <f>TEXT((($E$3-WEEKDAY($E$3,2)+1-7*(WEEKDAY($E$3,2)&lt;7))-7*14),"DD.MM")&amp;"–"&amp;TEXT((($E$3-WEEKDAY($E$3,2)+1-7*(WEEKDAY($E$3,2)&lt;7))-7*14)+6,"DD.MM.YYYY")</f>
        <v/>
      </c>
      <c r="B24" s="37">
        <f>SUMIFS('Данные'!$C:$C,'Данные'!$A:$A,"&gt;="&amp;(($E$3-WEEKDAY($E$3,2)+1-7*(WEEKDAY($E$3,2)&lt;7))-7*14),'Данные'!$A:$A,"&lt;"&amp;((($E$3-WEEKDAY($E$3,2)+1-7*(WEEKDAY($E$3,2)&lt;7))-7*14)+6)+1,'Данные'!$B:$B,$B$3)</f>
        <v/>
      </c>
      <c r="C24" s="37">
        <f>B24*(100+22)/100</f>
        <v/>
      </c>
      <c r="D24" s="38">
        <f>SUMIFS('Данные'!$D:$D,'Данные'!$A:$A,"&gt;="&amp;(($E$3-WEEKDAY($E$3,2)+1-7*(WEEKDAY($E$3,2)&lt;7))-7*14),'Данные'!$A:$A,"&lt;"&amp;((($E$3-WEEKDAY($E$3,2)+1-7*(WEEKDAY($E$3,2)&lt;7))-7*14)+6)+1,'Данные'!$B:$B,$B$3)</f>
        <v/>
      </c>
      <c r="E24" s="38">
        <f>SUMIFS('Данные'!$E:$E,'Данные'!$A:$A,"&gt;="&amp;(($E$3-WEEKDAY($E$3,2)+1-7*(WEEKDAY($E$3,2)&lt;7))-7*14),'Данные'!$A:$A,"&lt;"&amp;((($E$3-WEEKDAY($E$3,2)+1-7*(WEEKDAY($E$3,2)&lt;7))-7*14)+6)+1,'Данные'!$B:$B,$B$3)</f>
        <v/>
      </c>
      <c r="F24" s="39">
        <f>IFERROR(E24/D24,"")</f>
        <v/>
      </c>
      <c r="G24" s="40">
        <f>IFERROR(B24/E24,"")</f>
        <v/>
      </c>
      <c r="H24" s="38">
        <f>SUMIFS('Данные'!$F:$F,'Данные'!$A:$A,"&gt;="&amp;(($E$3-WEEKDAY($E$3,2)+1-7*(WEEKDAY($E$3,2)&lt;7))-7*14),'Данные'!$A:$A,"&lt;"&amp;((($E$3-WEEKDAY($E$3,2)+1-7*(WEEKDAY($E$3,2)&lt;7))-7*14)+6)+1,'Данные'!$B:$B,$B$3)</f>
        <v/>
      </c>
      <c r="I24" s="40">
        <f>IFERROR(B24/H24,"")</f>
        <v/>
      </c>
      <c r="J24" s="41">
        <f>IFERROR(H24/E24,"")</f>
        <v/>
      </c>
    </row>
    <row r="25">
      <c r="A25" s="29">
        <f>TEXT((($E$3-WEEKDAY($E$3,2)+1-7*(WEEKDAY($E$3,2)&lt;7))-7*13),"DD.MM")&amp;"–"&amp;TEXT((($E$3-WEEKDAY($E$3,2)+1-7*(WEEKDAY($E$3,2)&lt;7))-7*13)+6,"DD.MM.YYYY")</f>
        <v/>
      </c>
      <c r="B25" s="30">
        <f>SUMIFS('Данные'!$C:$C,'Данные'!$A:$A,"&gt;="&amp;(($E$3-WEEKDAY($E$3,2)+1-7*(WEEKDAY($E$3,2)&lt;7))-7*13),'Данные'!$A:$A,"&lt;"&amp;((($E$3-WEEKDAY($E$3,2)+1-7*(WEEKDAY($E$3,2)&lt;7))-7*13)+6)+1,'Данные'!$B:$B,$B$3)</f>
        <v/>
      </c>
      <c r="C25" s="30">
        <f>B25*(100+22)/100</f>
        <v/>
      </c>
      <c r="D25" s="31">
        <f>SUMIFS('Данные'!$D:$D,'Данные'!$A:$A,"&gt;="&amp;(($E$3-WEEKDAY($E$3,2)+1-7*(WEEKDAY($E$3,2)&lt;7))-7*13),'Данные'!$A:$A,"&lt;"&amp;((($E$3-WEEKDAY($E$3,2)+1-7*(WEEKDAY($E$3,2)&lt;7))-7*13)+6)+1,'Данные'!$B:$B,$B$3)</f>
        <v/>
      </c>
      <c r="E25" s="31">
        <f>SUMIFS('Данные'!$E:$E,'Данные'!$A:$A,"&gt;="&amp;(($E$3-WEEKDAY($E$3,2)+1-7*(WEEKDAY($E$3,2)&lt;7))-7*13),'Данные'!$A:$A,"&lt;"&amp;((($E$3-WEEKDAY($E$3,2)+1-7*(WEEKDAY($E$3,2)&lt;7))-7*13)+6)+1,'Данные'!$B:$B,$B$3)</f>
        <v/>
      </c>
      <c r="F25" s="32">
        <f>IFERROR(E25/D25,"")</f>
        <v/>
      </c>
      <c r="G25" s="33">
        <f>IFERROR(B25/E25,"")</f>
        <v/>
      </c>
      <c r="H25" s="31">
        <f>SUMIFS('Данные'!$F:$F,'Данные'!$A:$A,"&gt;="&amp;(($E$3-WEEKDAY($E$3,2)+1-7*(WEEKDAY($E$3,2)&lt;7))-7*13),'Данные'!$A:$A,"&lt;"&amp;((($E$3-WEEKDAY($E$3,2)+1-7*(WEEKDAY($E$3,2)&lt;7))-7*13)+6)+1,'Данные'!$B:$B,$B$3)</f>
        <v/>
      </c>
      <c r="I25" s="33">
        <f>IFERROR(B25/H25,"")</f>
        <v/>
      </c>
      <c r="J25" s="34">
        <f>IFERROR(H25/E25,"")</f>
        <v/>
      </c>
    </row>
    <row r="26">
      <c r="A26" s="36">
        <f>TEXT((($E$3-WEEKDAY($E$3,2)+1-7*(WEEKDAY($E$3,2)&lt;7))-7*12),"DD.MM")&amp;"–"&amp;TEXT((($E$3-WEEKDAY($E$3,2)+1-7*(WEEKDAY($E$3,2)&lt;7))-7*12)+6,"DD.MM.YYYY")</f>
        <v/>
      </c>
      <c r="B26" s="37">
        <f>SUMIFS('Данные'!$C:$C,'Данные'!$A:$A,"&gt;="&amp;(($E$3-WEEKDAY($E$3,2)+1-7*(WEEKDAY($E$3,2)&lt;7))-7*12),'Данные'!$A:$A,"&lt;"&amp;((($E$3-WEEKDAY($E$3,2)+1-7*(WEEKDAY($E$3,2)&lt;7))-7*12)+6)+1,'Данные'!$B:$B,$B$3)</f>
        <v/>
      </c>
      <c r="C26" s="37">
        <f>B26*(100+22)/100</f>
        <v/>
      </c>
      <c r="D26" s="38">
        <f>SUMIFS('Данные'!$D:$D,'Данные'!$A:$A,"&gt;="&amp;(($E$3-WEEKDAY($E$3,2)+1-7*(WEEKDAY($E$3,2)&lt;7))-7*12),'Данные'!$A:$A,"&lt;"&amp;((($E$3-WEEKDAY($E$3,2)+1-7*(WEEKDAY($E$3,2)&lt;7))-7*12)+6)+1,'Данные'!$B:$B,$B$3)</f>
        <v/>
      </c>
      <c r="E26" s="38">
        <f>SUMIFS('Данные'!$E:$E,'Данные'!$A:$A,"&gt;="&amp;(($E$3-WEEKDAY($E$3,2)+1-7*(WEEKDAY($E$3,2)&lt;7))-7*12),'Данные'!$A:$A,"&lt;"&amp;((($E$3-WEEKDAY($E$3,2)+1-7*(WEEKDAY($E$3,2)&lt;7))-7*12)+6)+1,'Данные'!$B:$B,$B$3)</f>
        <v/>
      </c>
      <c r="F26" s="39">
        <f>IFERROR(E26/D26,"")</f>
        <v/>
      </c>
      <c r="G26" s="40">
        <f>IFERROR(B26/E26,"")</f>
        <v/>
      </c>
      <c r="H26" s="38">
        <f>SUMIFS('Данные'!$F:$F,'Данные'!$A:$A,"&gt;="&amp;(($E$3-WEEKDAY($E$3,2)+1-7*(WEEKDAY($E$3,2)&lt;7))-7*12),'Данные'!$A:$A,"&lt;"&amp;((($E$3-WEEKDAY($E$3,2)+1-7*(WEEKDAY($E$3,2)&lt;7))-7*12)+6)+1,'Данные'!$B:$B,$B$3)</f>
        <v/>
      </c>
      <c r="I26" s="40">
        <f>IFERROR(B26/H26,"")</f>
        <v/>
      </c>
      <c r="J26" s="41">
        <f>IFERROR(H26/E26,"")</f>
        <v/>
      </c>
    </row>
    <row r="27">
      <c r="A27" s="29">
        <f>TEXT((($E$3-WEEKDAY($E$3,2)+1-7*(WEEKDAY($E$3,2)&lt;7))-7*11),"DD.MM")&amp;"–"&amp;TEXT((($E$3-WEEKDAY($E$3,2)+1-7*(WEEKDAY($E$3,2)&lt;7))-7*11)+6,"DD.MM.YYYY")</f>
        <v/>
      </c>
      <c r="B27" s="30">
        <f>SUMIFS('Данные'!$C:$C,'Данные'!$A:$A,"&gt;="&amp;(($E$3-WEEKDAY($E$3,2)+1-7*(WEEKDAY($E$3,2)&lt;7))-7*11),'Данные'!$A:$A,"&lt;"&amp;((($E$3-WEEKDAY($E$3,2)+1-7*(WEEKDAY($E$3,2)&lt;7))-7*11)+6)+1,'Данные'!$B:$B,$B$3)</f>
        <v/>
      </c>
      <c r="C27" s="30">
        <f>B27*(100+22)/100</f>
        <v/>
      </c>
      <c r="D27" s="31">
        <f>SUMIFS('Данные'!$D:$D,'Данные'!$A:$A,"&gt;="&amp;(($E$3-WEEKDAY($E$3,2)+1-7*(WEEKDAY($E$3,2)&lt;7))-7*11),'Данные'!$A:$A,"&lt;"&amp;((($E$3-WEEKDAY($E$3,2)+1-7*(WEEKDAY($E$3,2)&lt;7))-7*11)+6)+1,'Данные'!$B:$B,$B$3)</f>
        <v/>
      </c>
      <c r="E27" s="31">
        <f>SUMIFS('Данные'!$E:$E,'Данные'!$A:$A,"&gt;="&amp;(($E$3-WEEKDAY($E$3,2)+1-7*(WEEKDAY($E$3,2)&lt;7))-7*11),'Данные'!$A:$A,"&lt;"&amp;((($E$3-WEEKDAY($E$3,2)+1-7*(WEEKDAY($E$3,2)&lt;7))-7*11)+6)+1,'Данные'!$B:$B,$B$3)</f>
        <v/>
      </c>
      <c r="F27" s="32">
        <f>IFERROR(E27/D27,"")</f>
        <v/>
      </c>
      <c r="G27" s="33">
        <f>IFERROR(B27/E27,"")</f>
        <v/>
      </c>
      <c r="H27" s="31">
        <f>SUMIFS('Данные'!$F:$F,'Данные'!$A:$A,"&gt;="&amp;(($E$3-WEEKDAY($E$3,2)+1-7*(WEEKDAY($E$3,2)&lt;7))-7*11),'Данные'!$A:$A,"&lt;"&amp;((($E$3-WEEKDAY($E$3,2)+1-7*(WEEKDAY($E$3,2)&lt;7))-7*11)+6)+1,'Данные'!$B:$B,$B$3)</f>
        <v/>
      </c>
      <c r="I27" s="33">
        <f>IFERROR(B27/H27,"")</f>
        <v/>
      </c>
      <c r="J27" s="34">
        <f>IFERROR(H27/E27,"")</f>
        <v/>
      </c>
    </row>
    <row r="28">
      <c r="A28" s="36">
        <f>TEXT((($E$3-WEEKDAY($E$3,2)+1-7*(WEEKDAY($E$3,2)&lt;7))-7*10),"DD.MM")&amp;"–"&amp;TEXT((($E$3-WEEKDAY($E$3,2)+1-7*(WEEKDAY($E$3,2)&lt;7))-7*10)+6,"DD.MM.YYYY")</f>
        <v/>
      </c>
      <c r="B28" s="37">
        <f>SUMIFS('Данные'!$C:$C,'Данные'!$A:$A,"&gt;="&amp;(($E$3-WEEKDAY($E$3,2)+1-7*(WEEKDAY($E$3,2)&lt;7))-7*10),'Данные'!$A:$A,"&lt;"&amp;((($E$3-WEEKDAY($E$3,2)+1-7*(WEEKDAY($E$3,2)&lt;7))-7*10)+6)+1,'Данные'!$B:$B,$B$3)</f>
        <v/>
      </c>
      <c r="C28" s="37">
        <f>B28*(100+22)/100</f>
        <v/>
      </c>
      <c r="D28" s="38">
        <f>SUMIFS('Данные'!$D:$D,'Данные'!$A:$A,"&gt;="&amp;(($E$3-WEEKDAY($E$3,2)+1-7*(WEEKDAY($E$3,2)&lt;7))-7*10),'Данные'!$A:$A,"&lt;"&amp;((($E$3-WEEKDAY($E$3,2)+1-7*(WEEKDAY($E$3,2)&lt;7))-7*10)+6)+1,'Данные'!$B:$B,$B$3)</f>
        <v/>
      </c>
      <c r="E28" s="38">
        <f>SUMIFS('Данные'!$E:$E,'Данные'!$A:$A,"&gt;="&amp;(($E$3-WEEKDAY($E$3,2)+1-7*(WEEKDAY($E$3,2)&lt;7))-7*10),'Данные'!$A:$A,"&lt;"&amp;((($E$3-WEEKDAY($E$3,2)+1-7*(WEEKDAY($E$3,2)&lt;7))-7*10)+6)+1,'Данные'!$B:$B,$B$3)</f>
        <v/>
      </c>
      <c r="F28" s="39">
        <f>IFERROR(E28/D28,"")</f>
        <v/>
      </c>
      <c r="G28" s="40">
        <f>IFERROR(B28/E28,"")</f>
        <v/>
      </c>
      <c r="H28" s="38">
        <f>SUMIFS('Данные'!$F:$F,'Данные'!$A:$A,"&gt;="&amp;(($E$3-WEEKDAY($E$3,2)+1-7*(WEEKDAY($E$3,2)&lt;7))-7*10),'Данные'!$A:$A,"&lt;"&amp;((($E$3-WEEKDAY($E$3,2)+1-7*(WEEKDAY($E$3,2)&lt;7))-7*10)+6)+1,'Данные'!$B:$B,$B$3)</f>
        <v/>
      </c>
      <c r="I28" s="40">
        <f>IFERROR(B28/H28,"")</f>
        <v/>
      </c>
      <c r="J28" s="41">
        <f>IFERROR(H28/E28,"")</f>
        <v/>
      </c>
    </row>
    <row r="29">
      <c r="A29" s="29">
        <f>TEXT((($E$3-WEEKDAY($E$3,2)+1-7*(WEEKDAY($E$3,2)&lt;7))-7*9),"DD.MM")&amp;"–"&amp;TEXT((($E$3-WEEKDAY($E$3,2)+1-7*(WEEKDAY($E$3,2)&lt;7))-7*9)+6,"DD.MM.YYYY")</f>
        <v/>
      </c>
      <c r="B29" s="30">
        <f>SUMIFS('Данные'!$C:$C,'Данные'!$A:$A,"&gt;="&amp;(($E$3-WEEKDAY($E$3,2)+1-7*(WEEKDAY($E$3,2)&lt;7))-7*9),'Данные'!$A:$A,"&lt;"&amp;((($E$3-WEEKDAY($E$3,2)+1-7*(WEEKDAY($E$3,2)&lt;7))-7*9)+6)+1,'Данные'!$B:$B,$B$3)</f>
        <v/>
      </c>
      <c r="C29" s="30">
        <f>B29*(100+22)/100</f>
        <v/>
      </c>
      <c r="D29" s="31">
        <f>SUMIFS('Данные'!$D:$D,'Данные'!$A:$A,"&gt;="&amp;(($E$3-WEEKDAY($E$3,2)+1-7*(WEEKDAY($E$3,2)&lt;7))-7*9),'Данные'!$A:$A,"&lt;"&amp;((($E$3-WEEKDAY($E$3,2)+1-7*(WEEKDAY($E$3,2)&lt;7))-7*9)+6)+1,'Данные'!$B:$B,$B$3)</f>
        <v/>
      </c>
      <c r="E29" s="31">
        <f>SUMIFS('Данные'!$E:$E,'Данные'!$A:$A,"&gt;="&amp;(($E$3-WEEKDAY($E$3,2)+1-7*(WEEKDAY($E$3,2)&lt;7))-7*9),'Данные'!$A:$A,"&lt;"&amp;((($E$3-WEEKDAY($E$3,2)+1-7*(WEEKDAY($E$3,2)&lt;7))-7*9)+6)+1,'Данные'!$B:$B,$B$3)</f>
        <v/>
      </c>
      <c r="F29" s="32">
        <f>IFERROR(E29/D29,"")</f>
        <v/>
      </c>
      <c r="G29" s="33">
        <f>IFERROR(B29/E29,"")</f>
        <v/>
      </c>
      <c r="H29" s="31">
        <f>SUMIFS('Данные'!$F:$F,'Данные'!$A:$A,"&gt;="&amp;(($E$3-WEEKDAY($E$3,2)+1-7*(WEEKDAY($E$3,2)&lt;7))-7*9),'Данные'!$A:$A,"&lt;"&amp;((($E$3-WEEKDAY($E$3,2)+1-7*(WEEKDAY($E$3,2)&lt;7))-7*9)+6)+1,'Данные'!$B:$B,$B$3)</f>
        <v/>
      </c>
      <c r="I29" s="33">
        <f>IFERROR(B29/H29,"")</f>
        <v/>
      </c>
      <c r="J29" s="34">
        <f>IFERROR(H29/E29,"")</f>
        <v/>
      </c>
    </row>
    <row r="30">
      <c r="A30" s="36">
        <f>TEXT((($E$3-WEEKDAY($E$3,2)+1-7*(WEEKDAY($E$3,2)&lt;7))-7*8),"DD.MM")&amp;"–"&amp;TEXT((($E$3-WEEKDAY($E$3,2)+1-7*(WEEKDAY($E$3,2)&lt;7))-7*8)+6,"DD.MM.YYYY")</f>
        <v/>
      </c>
      <c r="B30" s="37">
        <f>SUMIFS('Данные'!$C:$C,'Данные'!$A:$A,"&gt;="&amp;(($E$3-WEEKDAY($E$3,2)+1-7*(WEEKDAY($E$3,2)&lt;7))-7*8),'Данные'!$A:$A,"&lt;"&amp;((($E$3-WEEKDAY($E$3,2)+1-7*(WEEKDAY($E$3,2)&lt;7))-7*8)+6)+1,'Данные'!$B:$B,$B$3)</f>
        <v/>
      </c>
      <c r="C30" s="37">
        <f>B30*(100+22)/100</f>
        <v/>
      </c>
      <c r="D30" s="38">
        <f>SUMIFS('Данные'!$D:$D,'Данные'!$A:$A,"&gt;="&amp;(($E$3-WEEKDAY($E$3,2)+1-7*(WEEKDAY($E$3,2)&lt;7))-7*8),'Данные'!$A:$A,"&lt;"&amp;((($E$3-WEEKDAY($E$3,2)+1-7*(WEEKDAY($E$3,2)&lt;7))-7*8)+6)+1,'Данные'!$B:$B,$B$3)</f>
        <v/>
      </c>
      <c r="E30" s="38">
        <f>SUMIFS('Данные'!$E:$E,'Данные'!$A:$A,"&gt;="&amp;(($E$3-WEEKDAY($E$3,2)+1-7*(WEEKDAY($E$3,2)&lt;7))-7*8),'Данные'!$A:$A,"&lt;"&amp;((($E$3-WEEKDAY($E$3,2)+1-7*(WEEKDAY($E$3,2)&lt;7))-7*8)+6)+1,'Данные'!$B:$B,$B$3)</f>
        <v/>
      </c>
      <c r="F30" s="39">
        <f>IFERROR(E30/D30,"")</f>
        <v/>
      </c>
      <c r="G30" s="40">
        <f>IFERROR(B30/E30,"")</f>
        <v/>
      </c>
      <c r="H30" s="38">
        <f>SUMIFS('Данные'!$F:$F,'Данные'!$A:$A,"&gt;="&amp;(($E$3-WEEKDAY($E$3,2)+1-7*(WEEKDAY($E$3,2)&lt;7))-7*8),'Данные'!$A:$A,"&lt;"&amp;((($E$3-WEEKDAY($E$3,2)+1-7*(WEEKDAY($E$3,2)&lt;7))-7*8)+6)+1,'Данные'!$B:$B,$B$3)</f>
        <v/>
      </c>
      <c r="I30" s="40">
        <f>IFERROR(B30/H30,"")</f>
        <v/>
      </c>
      <c r="J30" s="41">
        <f>IFERROR(H30/E30,"")</f>
        <v/>
      </c>
    </row>
    <row r="31">
      <c r="A31" s="29">
        <f>TEXT((($E$3-WEEKDAY($E$3,2)+1-7*(WEEKDAY($E$3,2)&lt;7))-7*7),"DD.MM")&amp;"–"&amp;TEXT((($E$3-WEEKDAY($E$3,2)+1-7*(WEEKDAY($E$3,2)&lt;7))-7*7)+6,"DD.MM.YYYY")</f>
        <v/>
      </c>
      <c r="B31" s="30">
        <f>SUMIFS('Данные'!$C:$C,'Данные'!$A:$A,"&gt;="&amp;(($E$3-WEEKDAY($E$3,2)+1-7*(WEEKDAY($E$3,2)&lt;7))-7*7),'Данные'!$A:$A,"&lt;"&amp;((($E$3-WEEKDAY($E$3,2)+1-7*(WEEKDAY($E$3,2)&lt;7))-7*7)+6)+1,'Данные'!$B:$B,$B$3)</f>
        <v/>
      </c>
      <c r="C31" s="30">
        <f>B31*(100+22)/100</f>
        <v/>
      </c>
      <c r="D31" s="31">
        <f>SUMIFS('Данные'!$D:$D,'Данные'!$A:$A,"&gt;="&amp;(($E$3-WEEKDAY($E$3,2)+1-7*(WEEKDAY($E$3,2)&lt;7))-7*7),'Данные'!$A:$A,"&lt;"&amp;((($E$3-WEEKDAY($E$3,2)+1-7*(WEEKDAY($E$3,2)&lt;7))-7*7)+6)+1,'Данные'!$B:$B,$B$3)</f>
        <v/>
      </c>
      <c r="E31" s="31">
        <f>SUMIFS('Данные'!$E:$E,'Данные'!$A:$A,"&gt;="&amp;(($E$3-WEEKDAY($E$3,2)+1-7*(WEEKDAY($E$3,2)&lt;7))-7*7),'Данные'!$A:$A,"&lt;"&amp;((($E$3-WEEKDAY($E$3,2)+1-7*(WEEKDAY($E$3,2)&lt;7))-7*7)+6)+1,'Данные'!$B:$B,$B$3)</f>
        <v/>
      </c>
      <c r="F31" s="32">
        <f>IFERROR(E31/D31,"")</f>
        <v/>
      </c>
      <c r="G31" s="33">
        <f>IFERROR(B31/E31,"")</f>
        <v/>
      </c>
      <c r="H31" s="31">
        <f>SUMIFS('Данные'!$F:$F,'Данные'!$A:$A,"&gt;="&amp;(($E$3-WEEKDAY($E$3,2)+1-7*(WEEKDAY($E$3,2)&lt;7))-7*7),'Данные'!$A:$A,"&lt;"&amp;((($E$3-WEEKDAY($E$3,2)+1-7*(WEEKDAY($E$3,2)&lt;7))-7*7)+6)+1,'Данные'!$B:$B,$B$3)</f>
        <v/>
      </c>
      <c r="I31" s="33">
        <f>IFERROR(B31/H31,"")</f>
        <v/>
      </c>
      <c r="J31" s="34">
        <f>IFERROR(H31/E31,"")</f>
        <v/>
      </c>
    </row>
    <row r="32">
      <c r="A32" s="36">
        <f>TEXT((($E$3-WEEKDAY($E$3,2)+1-7*(WEEKDAY($E$3,2)&lt;7))-7*6),"DD.MM")&amp;"–"&amp;TEXT((($E$3-WEEKDAY($E$3,2)+1-7*(WEEKDAY($E$3,2)&lt;7))-7*6)+6,"DD.MM.YYYY")</f>
        <v/>
      </c>
      <c r="B32" s="37">
        <f>SUMIFS('Данные'!$C:$C,'Данные'!$A:$A,"&gt;="&amp;(($E$3-WEEKDAY($E$3,2)+1-7*(WEEKDAY($E$3,2)&lt;7))-7*6),'Данные'!$A:$A,"&lt;"&amp;((($E$3-WEEKDAY($E$3,2)+1-7*(WEEKDAY($E$3,2)&lt;7))-7*6)+6)+1,'Данные'!$B:$B,$B$3)</f>
        <v/>
      </c>
      <c r="C32" s="37">
        <f>B32*(100+22)/100</f>
        <v/>
      </c>
      <c r="D32" s="38">
        <f>SUMIFS('Данные'!$D:$D,'Данные'!$A:$A,"&gt;="&amp;(($E$3-WEEKDAY($E$3,2)+1-7*(WEEKDAY($E$3,2)&lt;7))-7*6),'Данные'!$A:$A,"&lt;"&amp;((($E$3-WEEKDAY($E$3,2)+1-7*(WEEKDAY($E$3,2)&lt;7))-7*6)+6)+1,'Данные'!$B:$B,$B$3)</f>
        <v/>
      </c>
      <c r="E32" s="38">
        <f>SUMIFS('Данные'!$E:$E,'Данные'!$A:$A,"&gt;="&amp;(($E$3-WEEKDAY($E$3,2)+1-7*(WEEKDAY($E$3,2)&lt;7))-7*6),'Данные'!$A:$A,"&lt;"&amp;((($E$3-WEEKDAY($E$3,2)+1-7*(WEEKDAY($E$3,2)&lt;7))-7*6)+6)+1,'Данные'!$B:$B,$B$3)</f>
        <v/>
      </c>
      <c r="F32" s="39">
        <f>IFERROR(E32/D32,"")</f>
        <v/>
      </c>
      <c r="G32" s="40">
        <f>IFERROR(B32/E32,"")</f>
        <v/>
      </c>
      <c r="H32" s="38">
        <f>SUMIFS('Данные'!$F:$F,'Данные'!$A:$A,"&gt;="&amp;(($E$3-WEEKDAY($E$3,2)+1-7*(WEEKDAY($E$3,2)&lt;7))-7*6),'Данные'!$A:$A,"&lt;"&amp;((($E$3-WEEKDAY($E$3,2)+1-7*(WEEKDAY($E$3,2)&lt;7))-7*6)+6)+1,'Данные'!$B:$B,$B$3)</f>
        <v/>
      </c>
      <c r="I32" s="40">
        <f>IFERROR(B32/H32,"")</f>
        <v/>
      </c>
      <c r="J32" s="41">
        <f>IFERROR(H32/E32,"")</f>
        <v/>
      </c>
    </row>
    <row r="33">
      <c r="A33" s="29">
        <f>TEXT((($E$3-WEEKDAY($E$3,2)+1-7*(WEEKDAY($E$3,2)&lt;7))-7*5),"DD.MM")&amp;"–"&amp;TEXT((($E$3-WEEKDAY($E$3,2)+1-7*(WEEKDAY($E$3,2)&lt;7))-7*5)+6,"DD.MM.YYYY")</f>
        <v/>
      </c>
      <c r="B33" s="30">
        <f>SUMIFS('Данные'!$C:$C,'Данные'!$A:$A,"&gt;="&amp;(($E$3-WEEKDAY($E$3,2)+1-7*(WEEKDAY($E$3,2)&lt;7))-7*5),'Данные'!$A:$A,"&lt;"&amp;((($E$3-WEEKDAY($E$3,2)+1-7*(WEEKDAY($E$3,2)&lt;7))-7*5)+6)+1,'Данные'!$B:$B,$B$3)</f>
        <v/>
      </c>
      <c r="C33" s="30">
        <f>B33*(100+22)/100</f>
        <v/>
      </c>
      <c r="D33" s="31">
        <f>SUMIFS('Данные'!$D:$D,'Данные'!$A:$A,"&gt;="&amp;(($E$3-WEEKDAY($E$3,2)+1-7*(WEEKDAY($E$3,2)&lt;7))-7*5),'Данные'!$A:$A,"&lt;"&amp;((($E$3-WEEKDAY($E$3,2)+1-7*(WEEKDAY($E$3,2)&lt;7))-7*5)+6)+1,'Данные'!$B:$B,$B$3)</f>
        <v/>
      </c>
      <c r="E33" s="31">
        <f>SUMIFS('Данные'!$E:$E,'Данные'!$A:$A,"&gt;="&amp;(($E$3-WEEKDAY($E$3,2)+1-7*(WEEKDAY($E$3,2)&lt;7))-7*5),'Данные'!$A:$A,"&lt;"&amp;((($E$3-WEEKDAY($E$3,2)+1-7*(WEEKDAY($E$3,2)&lt;7))-7*5)+6)+1,'Данные'!$B:$B,$B$3)</f>
        <v/>
      </c>
      <c r="F33" s="32">
        <f>IFERROR(E33/D33,"")</f>
        <v/>
      </c>
      <c r="G33" s="33">
        <f>IFERROR(B33/E33,"")</f>
        <v/>
      </c>
      <c r="H33" s="31">
        <f>SUMIFS('Данные'!$F:$F,'Данные'!$A:$A,"&gt;="&amp;(($E$3-WEEKDAY($E$3,2)+1-7*(WEEKDAY($E$3,2)&lt;7))-7*5),'Данные'!$A:$A,"&lt;"&amp;((($E$3-WEEKDAY($E$3,2)+1-7*(WEEKDAY($E$3,2)&lt;7))-7*5)+6)+1,'Данные'!$B:$B,$B$3)</f>
        <v/>
      </c>
      <c r="I33" s="33">
        <f>IFERROR(B33/H33,"")</f>
        <v/>
      </c>
      <c r="J33" s="34">
        <f>IFERROR(H33/E33,"")</f>
        <v/>
      </c>
    </row>
    <row r="34">
      <c r="A34" s="36">
        <f>TEXT((($E$3-WEEKDAY($E$3,2)+1-7*(WEEKDAY($E$3,2)&lt;7))-7*4),"DD.MM")&amp;"–"&amp;TEXT((($E$3-WEEKDAY($E$3,2)+1-7*(WEEKDAY($E$3,2)&lt;7))-7*4)+6,"DD.MM.YYYY")</f>
        <v/>
      </c>
      <c r="B34" s="37">
        <f>SUMIFS('Данные'!$C:$C,'Данные'!$A:$A,"&gt;="&amp;(($E$3-WEEKDAY($E$3,2)+1-7*(WEEKDAY($E$3,2)&lt;7))-7*4),'Данные'!$A:$A,"&lt;"&amp;((($E$3-WEEKDAY($E$3,2)+1-7*(WEEKDAY($E$3,2)&lt;7))-7*4)+6)+1,'Данные'!$B:$B,$B$3)</f>
        <v/>
      </c>
      <c r="C34" s="37">
        <f>B34*(100+22)/100</f>
        <v/>
      </c>
      <c r="D34" s="38">
        <f>SUMIFS('Данные'!$D:$D,'Данные'!$A:$A,"&gt;="&amp;(($E$3-WEEKDAY($E$3,2)+1-7*(WEEKDAY($E$3,2)&lt;7))-7*4),'Данные'!$A:$A,"&lt;"&amp;((($E$3-WEEKDAY($E$3,2)+1-7*(WEEKDAY($E$3,2)&lt;7))-7*4)+6)+1,'Данные'!$B:$B,$B$3)</f>
        <v/>
      </c>
      <c r="E34" s="38">
        <f>SUMIFS('Данные'!$E:$E,'Данные'!$A:$A,"&gt;="&amp;(($E$3-WEEKDAY($E$3,2)+1-7*(WEEKDAY($E$3,2)&lt;7))-7*4),'Данные'!$A:$A,"&lt;"&amp;((($E$3-WEEKDAY($E$3,2)+1-7*(WEEKDAY($E$3,2)&lt;7))-7*4)+6)+1,'Данные'!$B:$B,$B$3)</f>
        <v/>
      </c>
      <c r="F34" s="39">
        <f>IFERROR(E34/D34,"")</f>
        <v/>
      </c>
      <c r="G34" s="40">
        <f>IFERROR(B34/E34,"")</f>
        <v/>
      </c>
      <c r="H34" s="38">
        <f>SUMIFS('Данные'!$F:$F,'Данные'!$A:$A,"&gt;="&amp;(($E$3-WEEKDAY($E$3,2)+1-7*(WEEKDAY($E$3,2)&lt;7))-7*4),'Данные'!$A:$A,"&lt;"&amp;((($E$3-WEEKDAY($E$3,2)+1-7*(WEEKDAY($E$3,2)&lt;7))-7*4)+6)+1,'Данные'!$B:$B,$B$3)</f>
        <v/>
      </c>
      <c r="I34" s="40">
        <f>IFERROR(B34/H34,"")</f>
        <v/>
      </c>
      <c r="J34" s="41">
        <f>IFERROR(H34/E34,"")</f>
        <v/>
      </c>
    </row>
    <row r="35">
      <c r="A35" s="29">
        <f>TEXT((($E$3-WEEKDAY($E$3,2)+1-7*(WEEKDAY($E$3,2)&lt;7))-7*3),"DD.MM")&amp;"–"&amp;TEXT((($E$3-WEEKDAY($E$3,2)+1-7*(WEEKDAY($E$3,2)&lt;7))-7*3)+6,"DD.MM.YYYY")</f>
        <v/>
      </c>
      <c r="B35" s="30">
        <f>SUMIFS('Данные'!$C:$C,'Данные'!$A:$A,"&gt;="&amp;(($E$3-WEEKDAY($E$3,2)+1-7*(WEEKDAY($E$3,2)&lt;7))-7*3),'Данные'!$A:$A,"&lt;"&amp;((($E$3-WEEKDAY($E$3,2)+1-7*(WEEKDAY($E$3,2)&lt;7))-7*3)+6)+1,'Данные'!$B:$B,$B$3)</f>
        <v/>
      </c>
      <c r="C35" s="30">
        <f>B35*(100+22)/100</f>
        <v/>
      </c>
      <c r="D35" s="31">
        <f>SUMIFS('Данные'!$D:$D,'Данные'!$A:$A,"&gt;="&amp;(($E$3-WEEKDAY($E$3,2)+1-7*(WEEKDAY($E$3,2)&lt;7))-7*3),'Данные'!$A:$A,"&lt;"&amp;((($E$3-WEEKDAY($E$3,2)+1-7*(WEEKDAY($E$3,2)&lt;7))-7*3)+6)+1,'Данные'!$B:$B,$B$3)</f>
        <v/>
      </c>
      <c r="E35" s="31">
        <f>SUMIFS('Данные'!$E:$E,'Данные'!$A:$A,"&gt;="&amp;(($E$3-WEEKDAY($E$3,2)+1-7*(WEEKDAY($E$3,2)&lt;7))-7*3),'Данные'!$A:$A,"&lt;"&amp;((($E$3-WEEKDAY($E$3,2)+1-7*(WEEKDAY($E$3,2)&lt;7))-7*3)+6)+1,'Данные'!$B:$B,$B$3)</f>
        <v/>
      </c>
      <c r="F35" s="32">
        <f>IFERROR(E35/D35,"")</f>
        <v/>
      </c>
      <c r="G35" s="33">
        <f>IFERROR(B35/E35,"")</f>
        <v/>
      </c>
      <c r="H35" s="31">
        <f>SUMIFS('Данные'!$F:$F,'Данные'!$A:$A,"&gt;="&amp;(($E$3-WEEKDAY($E$3,2)+1-7*(WEEKDAY($E$3,2)&lt;7))-7*3),'Данные'!$A:$A,"&lt;"&amp;((($E$3-WEEKDAY($E$3,2)+1-7*(WEEKDAY($E$3,2)&lt;7))-7*3)+6)+1,'Данные'!$B:$B,$B$3)</f>
        <v/>
      </c>
      <c r="I35" s="33">
        <f>IFERROR(B35/H35,"")</f>
        <v/>
      </c>
      <c r="J35" s="34">
        <f>IFERROR(H35/E35,"")</f>
        <v/>
      </c>
    </row>
    <row r="36">
      <c r="A36" s="36">
        <f>TEXT((($E$3-WEEKDAY($E$3,2)+1-7*(WEEKDAY($E$3,2)&lt;7))-7*2),"DD.MM")&amp;"–"&amp;TEXT((($E$3-WEEKDAY($E$3,2)+1-7*(WEEKDAY($E$3,2)&lt;7))-7*2)+6,"DD.MM.YYYY")</f>
        <v/>
      </c>
      <c r="B36" s="37">
        <f>SUMIFS('Данные'!$C:$C,'Данные'!$A:$A,"&gt;="&amp;(($E$3-WEEKDAY($E$3,2)+1-7*(WEEKDAY($E$3,2)&lt;7))-7*2),'Данные'!$A:$A,"&lt;"&amp;((($E$3-WEEKDAY($E$3,2)+1-7*(WEEKDAY($E$3,2)&lt;7))-7*2)+6)+1,'Данные'!$B:$B,$B$3)</f>
        <v/>
      </c>
      <c r="C36" s="37">
        <f>B36*(100+22)/100</f>
        <v/>
      </c>
      <c r="D36" s="38">
        <f>SUMIFS('Данные'!$D:$D,'Данные'!$A:$A,"&gt;="&amp;(($E$3-WEEKDAY($E$3,2)+1-7*(WEEKDAY($E$3,2)&lt;7))-7*2),'Данные'!$A:$A,"&lt;"&amp;((($E$3-WEEKDAY($E$3,2)+1-7*(WEEKDAY($E$3,2)&lt;7))-7*2)+6)+1,'Данные'!$B:$B,$B$3)</f>
        <v/>
      </c>
      <c r="E36" s="38">
        <f>SUMIFS('Данные'!$E:$E,'Данные'!$A:$A,"&gt;="&amp;(($E$3-WEEKDAY($E$3,2)+1-7*(WEEKDAY($E$3,2)&lt;7))-7*2),'Данные'!$A:$A,"&lt;"&amp;((($E$3-WEEKDAY($E$3,2)+1-7*(WEEKDAY($E$3,2)&lt;7))-7*2)+6)+1,'Данные'!$B:$B,$B$3)</f>
        <v/>
      </c>
      <c r="F36" s="39">
        <f>IFERROR(E36/D36,"")</f>
        <v/>
      </c>
      <c r="G36" s="40">
        <f>IFERROR(B36/E36,"")</f>
        <v/>
      </c>
      <c r="H36" s="38">
        <f>SUMIFS('Данные'!$F:$F,'Данные'!$A:$A,"&gt;="&amp;(($E$3-WEEKDAY($E$3,2)+1-7*(WEEKDAY($E$3,2)&lt;7))-7*2),'Данные'!$A:$A,"&lt;"&amp;((($E$3-WEEKDAY($E$3,2)+1-7*(WEEKDAY($E$3,2)&lt;7))-7*2)+6)+1,'Данные'!$B:$B,$B$3)</f>
        <v/>
      </c>
      <c r="I36" s="40">
        <f>IFERROR(B36/H36,"")</f>
        <v/>
      </c>
      <c r="J36" s="41">
        <f>IFERROR(H36/E36,"")</f>
        <v/>
      </c>
    </row>
    <row r="37">
      <c r="A37" s="29">
        <f>TEXT((($E$3-WEEKDAY($E$3,2)+1-7*(WEEKDAY($E$3,2)&lt;7))-7*1),"DD.MM")&amp;"–"&amp;TEXT((($E$3-WEEKDAY($E$3,2)+1-7*(WEEKDAY($E$3,2)&lt;7))-7*1)+6,"DD.MM.YYYY")</f>
        <v/>
      </c>
      <c r="B37" s="30">
        <f>SUMIFS('Данные'!$C:$C,'Данные'!$A:$A,"&gt;="&amp;(($E$3-WEEKDAY($E$3,2)+1-7*(WEEKDAY($E$3,2)&lt;7))-7*1),'Данные'!$A:$A,"&lt;"&amp;((($E$3-WEEKDAY($E$3,2)+1-7*(WEEKDAY($E$3,2)&lt;7))-7*1)+6)+1,'Данные'!$B:$B,$B$3)</f>
        <v/>
      </c>
      <c r="C37" s="30">
        <f>B37*(100+22)/100</f>
        <v/>
      </c>
      <c r="D37" s="31">
        <f>SUMIFS('Данные'!$D:$D,'Данные'!$A:$A,"&gt;="&amp;(($E$3-WEEKDAY($E$3,2)+1-7*(WEEKDAY($E$3,2)&lt;7))-7*1),'Данные'!$A:$A,"&lt;"&amp;((($E$3-WEEKDAY($E$3,2)+1-7*(WEEKDAY($E$3,2)&lt;7))-7*1)+6)+1,'Данные'!$B:$B,$B$3)</f>
        <v/>
      </c>
      <c r="E37" s="31">
        <f>SUMIFS('Данные'!$E:$E,'Данные'!$A:$A,"&gt;="&amp;(($E$3-WEEKDAY($E$3,2)+1-7*(WEEKDAY($E$3,2)&lt;7))-7*1),'Данные'!$A:$A,"&lt;"&amp;((($E$3-WEEKDAY($E$3,2)+1-7*(WEEKDAY($E$3,2)&lt;7))-7*1)+6)+1,'Данные'!$B:$B,$B$3)</f>
        <v/>
      </c>
      <c r="F37" s="32">
        <f>IFERROR(E37/D37,"")</f>
        <v/>
      </c>
      <c r="G37" s="33">
        <f>IFERROR(B37/E37,"")</f>
        <v/>
      </c>
      <c r="H37" s="31">
        <f>SUMIFS('Данные'!$F:$F,'Данные'!$A:$A,"&gt;="&amp;(($E$3-WEEKDAY($E$3,2)+1-7*(WEEKDAY($E$3,2)&lt;7))-7*1),'Данные'!$A:$A,"&lt;"&amp;((($E$3-WEEKDAY($E$3,2)+1-7*(WEEKDAY($E$3,2)&lt;7))-7*1)+6)+1,'Данные'!$B:$B,$B$3)</f>
        <v/>
      </c>
      <c r="I37" s="33">
        <f>IFERROR(B37/H37,"")</f>
        <v/>
      </c>
      <c r="J37" s="34">
        <f>IFERROR(H37/E37,"")</f>
        <v/>
      </c>
    </row>
    <row r="38">
      <c r="A38" s="36">
        <f>TEXT((($E$3-WEEKDAY($E$3,2)+1-7*(WEEKDAY($E$3,2)&lt;7))-7*0),"DD.MM")&amp;"–"&amp;TEXT((($E$3-WEEKDAY($E$3,2)+1-7*(WEEKDAY($E$3,2)&lt;7))-7*0)+6,"DD.MM.YYYY")</f>
        <v/>
      </c>
      <c r="B38" s="37">
        <f>SUMIFS('Данные'!$C:$C,'Данные'!$A:$A,"&gt;="&amp;(($E$3-WEEKDAY($E$3,2)+1-7*(WEEKDAY($E$3,2)&lt;7))-7*0),'Данные'!$A:$A,"&lt;"&amp;((($E$3-WEEKDAY($E$3,2)+1-7*(WEEKDAY($E$3,2)&lt;7))-7*0)+6)+1,'Данные'!$B:$B,$B$3)</f>
        <v/>
      </c>
      <c r="C38" s="37">
        <f>B38*(100+22)/100</f>
        <v/>
      </c>
      <c r="D38" s="38">
        <f>SUMIFS('Данные'!$D:$D,'Данные'!$A:$A,"&gt;="&amp;(($E$3-WEEKDAY($E$3,2)+1-7*(WEEKDAY($E$3,2)&lt;7))-7*0),'Данные'!$A:$A,"&lt;"&amp;((($E$3-WEEKDAY($E$3,2)+1-7*(WEEKDAY($E$3,2)&lt;7))-7*0)+6)+1,'Данные'!$B:$B,$B$3)</f>
        <v/>
      </c>
      <c r="E38" s="38">
        <f>SUMIFS('Данные'!$E:$E,'Данные'!$A:$A,"&gt;="&amp;(($E$3-WEEKDAY($E$3,2)+1-7*(WEEKDAY($E$3,2)&lt;7))-7*0),'Данные'!$A:$A,"&lt;"&amp;((($E$3-WEEKDAY($E$3,2)+1-7*(WEEKDAY($E$3,2)&lt;7))-7*0)+6)+1,'Данные'!$B:$B,$B$3)</f>
        <v/>
      </c>
      <c r="F38" s="39">
        <f>IFERROR(E38/D38,"")</f>
        <v/>
      </c>
      <c r="G38" s="40">
        <f>IFERROR(B38/E38,"")</f>
        <v/>
      </c>
      <c r="H38" s="38">
        <f>SUMIFS('Данные'!$F:$F,'Данные'!$A:$A,"&gt;="&amp;(($E$3-WEEKDAY($E$3,2)+1-7*(WEEKDAY($E$3,2)&lt;7))-7*0),'Данные'!$A:$A,"&lt;"&amp;((($E$3-WEEKDAY($E$3,2)+1-7*(WEEKDAY($E$3,2)&lt;7))-7*0)+6)+1,'Данные'!$B:$B,$B$3)</f>
        <v/>
      </c>
      <c r="I38" s="40">
        <f>IFERROR(B38/H38,"")</f>
        <v/>
      </c>
      <c r="J38" s="41">
        <f>IFERROR(H38/E38,"")</f>
        <v/>
      </c>
    </row>
    <row r="39">
      <c r="A39" s="59" t="inlineStr">
        <is>
          <t>Разница с прошлой неделей</t>
        </is>
      </c>
      <c r="B39" s="60">
        <f>IFERROR(B38/B37-1,"")</f>
        <v/>
      </c>
      <c r="C39" s="60">
        <f>IFERROR(C38/C37-1,"")</f>
        <v/>
      </c>
      <c r="D39" s="60">
        <f>IFERROR(D38/D37-1,"")</f>
        <v/>
      </c>
      <c r="E39" s="60">
        <f>IFERROR(E38/E37-1,"")</f>
        <v/>
      </c>
      <c r="F39" s="60">
        <f>IFERROR(F38/F37-1,"")</f>
        <v/>
      </c>
      <c r="G39" s="60">
        <f>IFERROR(G38/G37-1,"")</f>
        <v/>
      </c>
      <c r="H39" s="60">
        <f>IFERROR(H38/H37-1,"")</f>
        <v/>
      </c>
      <c r="I39" s="60">
        <f>IFERROR(I38/I37-1,"")</f>
        <v/>
      </c>
      <c r="J39" s="60">
        <f>IFERROR(J38/J37-1,"")</f>
        <v/>
      </c>
    </row>
    <row r="41">
      <c r="A41" s="9" t="inlineStr">
        <is>
          <t>📅 По завершённым месяцам (12)</t>
        </is>
      </c>
    </row>
    <row r="42">
      <c r="A42" s="11" t="inlineStr">
        <is>
          <t>Месяц</t>
        </is>
      </c>
      <c r="B42" s="11" t="inlineStr">
        <is>
          <t>Расход</t>
        </is>
      </c>
      <c r="C42" s="11" t="inlineStr">
        <is>
          <t>Расход с НДС</t>
        </is>
      </c>
      <c r="D42" s="11" t="inlineStr">
        <is>
          <t>Показы</t>
        </is>
      </c>
      <c r="E42" s="11" t="inlineStr">
        <is>
          <t>Клики</t>
        </is>
      </c>
      <c r="F42" s="11" t="inlineStr">
        <is>
          <t>CTR</t>
        </is>
      </c>
      <c r="G42" s="11" t="inlineStr">
        <is>
          <t>CPC</t>
        </is>
      </c>
      <c r="H42" s="11" t="inlineStr">
        <is>
          <t>Подписки</t>
        </is>
      </c>
      <c r="I42" s="11" t="inlineStr">
        <is>
          <t>Цена подписки</t>
        </is>
      </c>
      <c r="J42" s="11" t="inlineStr">
        <is>
          <t>CR в подписку</t>
        </is>
      </c>
    </row>
    <row r="43">
      <c r="A43" s="29">
        <f>CHOOSE(MONTH(EDATE(EDATE(DATE(YEAR($E$3),MONTH($E$3),1),-($E$3&lt;EOMONTH($E$3,0))),-11)),"Январь","Февраль","Март","Апрель","Май","Июнь","Июль","Август","Сентябрь","Октябрь","Ноябрь","Декабрь")&amp;" "&amp;YEAR(EDATE(EDATE(DATE(YEAR($E$3),MONTH($E$3),1),-($E$3&lt;EOMONTH($E$3,0))),-11))</f>
        <v/>
      </c>
      <c r="B43" s="30">
        <f>SUMIFS('Данные'!$C:$C,'Данные'!$A:$A,"&gt;="&amp;EDATE(EDATE(DATE(YEAR($E$3),MONTH($E$3),1),-($E$3&lt;EOMONTH($E$3,0))),-11),'Данные'!$A:$A,"&lt;"&amp;EOMONTH(EDATE(EDATE(DATE(YEAR($E$3),MONTH($E$3),1),-($E$3&lt;EOMONTH($E$3,0))),-11),0)+1,'Данные'!$B:$B,$B$3)</f>
        <v/>
      </c>
      <c r="C43" s="30">
        <f>B43*(100+22)/100</f>
        <v/>
      </c>
      <c r="D43" s="31">
        <f>SUMIFS('Данные'!$D:$D,'Данные'!$A:$A,"&gt;="&amp;EDATE(EDATE(DATE(YEAR($E$3),MONTH($E$3),1),-($E$3&lt;EOMONTH($E$3,0))),-11),'Данные'!$A:$A,"&lt;"&amp;EOMONTH(EDATE(EDATE(DATE(YEAR($E$3),MONTH($E$3),1),-($E$3&lt;EOMONTH($E$3,0))),-11),0)+1,'Данные'!$B:$B,$B$3)</f>
        <v/>
      </c>
      <c r="E43" s="31">
        <f>SUMIFS('Данные'!$E:$E,'Данные'!$A:$A,"&gt;="&amp;EDATE(EDATE(DATE(YEAR($E$3),MONTH($E$3),1),-($E$3&lt;EOMONTH($E$3,0))),-11),'Данные'!$A:$A,"&lt;"&amp;EOMONTH(EDATE(EDATE(DATE(YEAR($E$3),MONTH($E$3),1),-($E$3&lt;EOMONTH($E$3,0))),-11),0)+1,'Данные'!$B:$B,$B$3)</f>
        <v/>
      </c>
      <c r="F43" s="32">
        <f>IFERROR(E43/D43,"")</f>
        <v/>
      </c>
      <c r="G43" s="33">
        <f>IFERROR(B43/E43,"")</f>
        <v/>
      </c>
      <c r="H43" s="31">
        <f>SUMIFS('Данные'!$F:$F,'Данные'!$A:$A,"&gt;="&amp;EDATE(EDATE(DATE(YEAR($E$3),MONTH($E$3),1),-($E$3&lt;EOMONTH($E$3,0))),-11),'Данные'!$A:$A,"&lt;"&amp;EOMONTH(EDATE(EDATE(DATE(YEAR($E$3),MONTH($E$3),1),-($E$3&lt;EOMONTH($E$3,0))),-11),0)+1,'Данные'!$B:$B,$B$3)</f>
        <v/>
      </c>
      <c r="I43" s="33">
        <f>IFERROR(B43/H43,"")</f>
        <v/>
      </c>
      <c r="J43" s="34">
        <f>IFERROR(H43/E43,"")</f>
        <v/>
      </c>
    </row>
    <row r="44">
      <c r="A44" s="36">
        <f>CHOOSE(MONTH(EDATE(EDATE(DATE(YEAR($E$3),MONTH($E$3),1),-($E$3&lt;EOMONTH($E$3,0))),-10)),"Январь","Февраль","Март","Апрель","Май","Июнь","Июль","Август","Сентябрь","Октябрь","Ноябрь","Декабрь")&amp;" "&amp;YEAR(EDATE(EDATE(DATE(YEAR($E$3),MONTH($E$3),1),-($E$3&lt;EOMONTH($E$3,0))),-10))</f>
        <v/>
      </c>
      <c r="B44" s="37">
        <f>SUMIFS('Данные'!$C:$C,'Данные'!$A:$A,"&gt;="&amp;EDATE(EDATE(DATE(YEAR($E$3),MONTH($E$3),1),-($E$3&lt;EOMONTH($E$3,0))),-10),'Данные'!$A:$A,"&lt;"&amp;EOMONTH(EDATE(EDATE(DATE(YEAR($E$3),MONTH($E$3),1),-($E$3&lt;EOMONTH($E$3,0))),-10),0)+1,'Данные'!$B:$B,$B$3)</f>
        <v/>
      </c>
      <c r="C44" s="37">
        <f>B44*(100+22)/100</f>
        <v/>
      </c>
      <c r="D44" s="38">
        <f>SUMIFS('Данные'!$D:$D,'Данные'!$A:$A,"&gt;="&amp;EDATE(EDATE(DATE(YEAR($E$3),MONTH($E$3),1),-($E$3&lt;EOMONTH($E$3,0))),-10),'Данные'!$A:$A,"&lt;"&amp;EOMONTH(EDATE(EDATE(DATE(YEAR($E$3),MONTH($E$3),1),-($E$3&lt;EOMONTH($E$3,0))),-10),0)+1,'Данные'!$B:$B,$B$3)</f>
        <v/>
      </c>
      <c r="E44" s="38">
        <f>SUMIFS('Данные'!$E:$E,'Данные'!$A:$A,"&gt;="&amp;EDATE(EDATE(DATE(YEAR($E$3),MONTH($E$3),1),-($E$3&lt;EOMONTH($E$3,0))),-10),'Данные'!$A:$A,"&lt;"&amp;EOMONTH(EDATE(EDATE(DATE(YEAR($E$3),MONTH($E$3),1),-($E$3&lt;EOMONTH($E$3,0))),-10),0)+1,'Данные'!$B:$B,$B$3)</f>
        <v/>
      </c>
      <c r="F44" s="39">
        <f>IFERROR(E44/D44,"")</f>
        <v/>
      </c>
      <c r="G44" s="40">
        <f>IFERROR(B44/E44,"")</f>
        <v/>
      </c>
      <c r="H44" s="38">
        <f>SUMIFS('Данные'!$F:$F,'Данные'!$A:$A,"&gt;="&amp;EDATE(EDATE(DATE(YEAR($E$3),MONTH($E$3),1),-($E$3&lt;EOMONTH($E$3,0))),-10),'Данные'!$A:$A,"&lt;"&amp;EOMONTH(EDATE(EDATE(DATE(YEAR($E$3),MONTH($E$3),1),-($E$3&lt;EOMONTH($E$3,0))),-10),0)+1,'Данные'!$B:$B,$B$3)</f>
        <v/>
      </c>
      <c r="I44" s="40">
        <f>IFERROR(B44/H44,"")</f>
        <v/>
      </c>
      <c r="J44" s="41">
        <f>IFERROR(H44/E44,"")</f>
        <v/>
      </c>
    </row>
    <row r="45">
      <c r="A45" s="29">
        <f>CHOOSE(MONTH(EDATE(EDATE(DATE(YEAR($E$3),MONTH($E$3),1),-($E$3&lt;EOMONTH($E$3,0))),-9)),"Январь","Февраль","Март","Апрель","Май","Июнь","Июль","Август","Сентябрь","Октябрь","Ноябрь","Декабрь")&amp;" "&amp;YEAR(EDATE(EDATE(DATE(YEAR($E$3),MONTH($E$3),1),-($E$3&lt;EOMONTH($E$3,0))),-9))</f>
        <v/>
      </c>
      <c r="B45" s="30">
        <f>SUMIFS('Данные'!$C:$C,'Данные'!$A:$A,"&gt;="&amp;EDATE(EDATE(DATE(YEAR($E$3),MONTH($E$3),1),-($E$3&lt;EOMONTH($E$3,0))),-9),'Данные'!$A:$A,"&lt;"&amp;EOMONTH(EDATE(EDATE(DATE(YEAR($E$3),MONTH($E$3),1),-($E$3&lt;EOMONTH($E$3,0))),-9),0)+1,'Данные'!$B:$B,$B$3)</f>
        <v/>
      </c>
      <c r="C45" s="30">
        <f>B45*(100+22)/100</f>
        <v/>
      </c>
      <c r="D45" s="31">
        <f>SUMIFS('Данные'!$D:$D,'Данные'!$A:$A,"&gt;="&amp;EDATE(EDATE(DATE(YEAR($E$3),MONTH($E$3),1),-($E$3&lt;EOMONTH($E$3,0))),-9),'Данные'!$A:$A,"&lt;"&amp;EOMONTH(EDATE(EDATE(DATE(YEAR($E$3),MONTH($E$3),1),-($E$3&lt;EOMONTH($E$3,0))),-9),0)+1,'Данные'!$B:$B,$B$3)</f>
        <v/>
      </c>
      <c r="E45" s="31">
        <f>SUMIFS('Данные'!$E:$E,'Данные'!$A:$A,"&gt;="&amp;EDATE(EDATE(DATE(YEAR($E$3),MONTH($E$3),1),-($E$3&lt;EOMONTH($E$3,0))),-9),'Данные'!$A:$A,"&lt;"&amp;EOMONTH(EDATE(EDATE(DATE(YEAR($E$3),MONTH($E$3),1),-($E$3&lt;EOMONTH($E$3,0))),-9),0)+1,'Данные'!$B:$B,$B$3)</f>
        <v/>
      </c>
      <c r="F45" s="32">
        <f>IFERROR(E45/D45,"")</f>
        <v/>
      </c>
      <c r="G45" s="33">
        <f>IFERROR(B45/E45,"")</f>
        <v/>
      </c>
      <c r="H45" s="31">
        <f>SUMIFS('Данные'!$F:$F,'Данные'!$A:$A,"&gt;="&amp;EDATE(EDATE(DATE(YEAR($E$3),MONTH($E$3),1),-($E$3&lt;EOMONTH($E$3,0))),-9),'Данные'!$A:$A,"&lt;"&amp;EOMONTH(EDATE(EDATE(DATE(YEAR($E$3),MONTH($E$3),1),-($E$3&lt;EOMONTH($E$3,0))),-9),0)+1,'Данные'!$B:$B,$B$3)</f>
        <v/>
      </c>
      <c r="I45" s="33">
        <f>IFERROR(B45/H45,"")</f>
        <v/>
      </c>
      <c r="J45" s="34">
        <f>IFERROR(H45/E45,"")</f>
        <v/>
      </c>
    </row>
    <row r="46">
      <c r="A46" s="36">
        <f>CHOOSE(MONTH(EDATE(EDATE(DATE(YEAR($E$3),MONTH($E$3),1),-($E$3&lt;EOMONTH($E$3,0))),-8)),"Январь","Февраль","Март","Апрель","Май","Июнь","Июль","Август","Сентябрь","Октябрь","Ноябрь","Декабрь")&amp;" "&amp;YEAR(EDATE(EDATE(DATE(YEAR($E$3),MONTH($E$3),1),-($E$3&lt;EOMONTH($E$3,0))),-8))</f>
        <v/>
      </c>
      <c r="B46" s="37">
        <f>SUMIFS('Данные'!$C:$C,'Данные'!$A:$A,"&gt;="&amp;EDATE(EDATE(DATE(YEAR($E$3),MONTH($E$3),1),-($E$3&lt;EOMONTH($E$3,0))),-8),'Данные'!$A:$A,"&lt;"&amp;EOMONTH(EDATE(EDATE(DATE(YEAR($E$3),MONTH($E$3),1),-($E$3&lt;EOMONTH($E$3,0))),-8),0)+1,'Данные'!$B:$B,$B$3)</f>
        <v/>
      </c>
      <c r="C46" s="37">
        <f>B46*(100+22)/100</f>
        <v/>
      </c>
      <c r="D46" s="38">
        <f>SUMIFS('Данные'!$D:$D,'Данные'!$A:$A,"&gt;="&amp;EDATE(EDATE(DATE(YEAR($E$3),MONTH($E$3),1),-($E$3&lt;EOMONTH($E$3,0))),-8),'Данные'!$A:$A,"&lt;"&amp;EOMONTH(EDATE(EDATE(DATE(YEAR($E$3),MONTH($E$3),1),-($E$3&lt;EOMONTH($E$3,0))),-8),0)+1,'Данные'!$B:$B,$B$3)</f>
        <v/>
      </c>
      <c r="E46" s="38">
        <f>SUMIFS('Данные'!$E:$E,'Данные'!$A:$A,"&gt;="&amp;EDATE(EDATE(DATE(YEAR($E$3),MONTH($E$3),1),-($E$3&lt;EOMONTH($E$3,0))),-8),'Данные'!$A:$A,"&lt;"&amp;EOMONTH(EDATE(EDATE(DATE(YEAR($E$3),MONTH($E$3),1),-($E$3&lt;EOMONTH($E$3,0))),-8),0)+1,'Данные'!$B:$B,$B$3)</f>
        <v/>
      </c>
      <c r="F46" s="39">
        <f>IFERROR(E46/D46,"")</f>
        <v/>
      </c>
      <c r="G46" s="40">
        <f>IFERROR(B46/E46,"")</f>
        <v/>
      </c>
      <c r="H46" s="38">
        <f>SUMIFS('Данные'!$F:$F,'Данные'!$A:$A,"&gt;="&amp;EDATE(EDATE(DATE(YEAR($E$3),MONTH($E$3),1),-($E$3&lt;EOMONTH($E$3,0))),-8),'Данные'!$A:$A,"&lt;"&amp;EOMONTH(EDATE(EDATE(DATE(YEAR($E$3),MONTH($E$3),1),-($E$3&lt;EOMONTH($E$3,0))),-8),0)+1,'Данные'!$B:$B,$B$3)</f>
        <v/>
      </c>
      <c r="I46" s="40">
        <f>IFERROR(B46/H46,"")</f>
        <v/>
      </c>
      <c r="J46" s="41">
        <f>IFERROR(H46/E46,"")</f>
        <v/>
      </c>
    </row>
    <row r="47">
      <c r="A47" s="29">
        <f>CHOOSE(MONTH(EDATE(EDATE(DATE(YEAR($E$3),MONTH($E$3),1),-($E$3&lt;EOMONTH($E$3,0))),-7)),"Январь","Февраль","Март","Апрель","Май","Июнь","Июль","Август","Сентябрь","Октябрь","Ноябрь","Декабрь")&amp;" "&amp;YEAR(EDATE(EDATE(DATE(YEAR($E$3),MONTH($E$3),1),-($E$3&lt;EOMONTH($E$3,0))),-7))</f>
        <v/>
      </c>
      <c r="B47" s="30">
        <f>SUMIFS('Данные'!$C:$C,'Данные'!$A:$A,"&gt;="&amp;EDATE(EDATE(DATE(YEAR($E$3),MONTH($E$3),1),-($E$3&lt;EOMONTH($E$3,0))),-7),'Данные'!$A:$A,"&lt;"&amp;EOMONTH(EDATE(EDATE(DATE(YEAR($E$3),MONTH($E$3),1),-($E$3&lt;EOMONTH($E$3,0))),-7),0)+1,'Данные'!$B:$B,$B$3)</f>
        <v/>
      </c>
      <c r="C47" s="30">
        <f>B47*(100+22)/100</f>
        <v/>
      </c>
      <c r="D47" s="31">
        <f>SUMIFS('Данные'!$D:$D,'Данные'!$A:$A,"&gt;="&amp;EDATE(EDATE(DATE(YEAR($E$3),MONTH($E$3),1),-($E$3&lt;EOMONTH($E$3,0))),-7),'Данные'!$A:$A,"&lt;"&amp;EOMONTH(EDATE(EDATE(DATE(YEAR($E$3),MONTH($E$3),1),-($E$3&lt;EOMONTH($E$3,0))),-7),0)+1,'Данные'!$B:$B,$B$3)</f>
        <v/>
      </c>
      <c r="E47" s="31">
        <f>SUMIFS('Данные'!$E:$E,'Данные'!$A:$A,"&gt;="&amp;EDATE(EDATE(DATE(YEAR($E$3),MONTH($E$3),1),-($E$3&lt;EOMONTH($E$3,0))),-7),'Данные'!$A:$A,"&lt;"&amp;EOMONTH(EDATE(EDATE(DATE(YEAR($E$3),MONTH($E$3),1),-($E$3&lt;EOMONTH($E$3,0))),-7),0)+1,'Данные'!$B:$B,$B$3)</f>
        <v/>
      </c>
      <c r="F47" s="32">
        <f>IFERROR(E47/D47,"")</f>
        <v/>
      </c>
      <c r="G47" s="33">
        <f>IFERROR(B47/E47,"")</f>
        <v/>
      </c>
      <c r="H47" s="31">
        <f>SUMIFS('Данные'!$F:$F,'Данные'!$A:$A,"&gt;="&amp;EDATE(EDATE(DATE(YEAR($E$3),MONTH($E$3),1),-($E$3&lt;EOMONTH($E$3,0))),-7),'Данные'!$A:$A,"&lt;"&amp;EOMONTH(EDATE(EDATE(DATE(YEAR($E$3),MONTH($E$3),1),-($E$3&lt;EOMONTH($E$3,0))),-7),0)+1,'Данные'!$B:$B,$B$3)</f>
        <v/>
      </c>
      <c r="I47" s="33">
        <f>IFERROR(B47/H47,"")</f>
        <v/>
      </c>
      <c r="J47" s="34">
        <f>IFERROR(H47/E47,"")</f>
        <v/>
      </c>
    </row>
    <row r="48">
      <c r="A48" s="36">
        <f>CHOOSE(MONTH(EDATE(EDATE(DATE(YEAR($E$3),MONTH($E$3),1),-($E$3&lt;EOMONTH($E$3,0))),-6)),"Январь","Февраль","Март","Апрель","Май","Июнь","Июль","Август","Сентябрь","Октябрь","Ноябрь","Декабрь")&amp;" "&amp;YEAR(EDATE(EDATE(DATE(YEAR($E$3),MONTH($E$3),1),-($E$3&lt;EOMONTH($E$3,0))),-6))</f>
        <v/>
      </c>
      <c r="B48" s="37">
        <f>SUMIFS('Данные'!$C:$C,'Данные'!$A:$A,"&gt;="&amp;EDATE(EDATE(DATE(YEAR($E$3),MONTH($E$3),1),-($E$3&lt;EOMONTH($E$3,0))),-6),'Данные'!$A:$A,"&lt;"&amp;EOMONTH(EDATE(EDATE(DATE(YEAR($E$3),MONTH($E$3),1),-($E$3&lt;EOMONTH($E$3,0))),-6),0)+1,'Данные'!$B:$B,$B$3)</f>
        <v/>
      </c>
      <c r="C48" s="37">
        <f>B48*(100+22)/100</f>
        <v/>
      </c>
      <c r="D48" s="38">
        <f>SUMIFS('Данные'!$D:$D,'Данные'!$A:$A,"&gt;="&amp;EDATE(EDATE(DATE(YEAR($E$3),MONTH($E$3),1),-($E$3&lt;EOMONTH($E$3,0))),-6),'Данные'!$A:$A,"&lt;"&amp;EOMONTH(EDATE(EDATE(DATE(YEAR($E$3),MONTH($E$3),1),-($E$3&lt;EOMONTH($E$3,0))),-6),0)+1,'Данные'!$B:$B,$B$3)</f>
        <v/>
      </c>
      <c r="E48" s="38">
        <f>SUMIFS('Данные'!$E:$E,'Данные'!$A:$A,"&gt;="&amp;EDATE(EDATE(DATE(YEAR($E$3),MONTH($E$3),1),-($E$3&lt;EOMONTH($E$3,0))),-6),'Данные'!$A:$A,"&lt;"&amp;EOMONTH(EDATE(EDATE(DATE(YEAR($E$3),MONTH($E$3),1),-($E$3&lt;EOMONTH($E$3,0))),-6),0)+1,'Данные'!$B:$B,$B$3)</f>
        <v/>
      </c>
      <c r="F48" s="39">
        <f>IFERROR(E48/D48,"")</f>
        <v/>
      </c>
      <c r="G48" s="40">
        <f>IFERROR(B48/E48,"")</f>
        <v/>
      </c>
      <c r="H48" s="38">
        <f>SUMIFS('Данные'!$F:$F,'Данные'!$A:$A,"&gt;="&amp;EDATE(EDATE(DATE(YEAR($E$3),MONTH($E$3),1),-($E$3&lt;EOMONTH($E$3,0))),-6),'Данные'!$A:$A,"&lt;"&amp;EOMONTH(EDATE(EDATE(DATE(YEAR($E$3),MONTH($E$3),1),-($E$3&lt;EOMONTH($E$3,0))),-6),0)+1,'Данные'!$B:$B,$B$3)</f>
        <v/>
      </c>
      <c r="I48" s="40">
        <f>IFERROR(B48/H48,"")</f>
        <v/>
      </c>
      <c r="J48" s="41">
        <f>IFERROR(H48/E48,"")</f>
        <v/>
      </c>
    </row>
    <row r="49">
      <c r="A49" s="29">
        <f>CHOOSE(MONTH(EDATE(EDATE(DATE(YEAR($E$3),MONTH($E$3),1),-($E$3&lt;EOMONTH($E$3,0))),-5)),"Январь","Февраль","Март","Апрель","Май","Июнь","Июль","Август","Сентябрь","Октябрь","Ноябрь","Декабрь")&amp;" "&amp;YEAR(EDATE(EDATE(DATE(YEAR($E$3),MONTH($E$3),1),-($E$3&lt;EOMONTH($E$3,0))),-5))</f>
        <v/>
      </c>
      <c r="B49" s="30">
        <f>SUMIFS('Данные'!$C:$C,'Данные'!$A:$A,"&gt;="&amp;EDATE(EDATE(DATE(YEAR($E$3),MONTH($E$3),1),-($E$3&lt;EOMONTH($E$3,0))),-5),'Данные'!$A:$A,"&lt;"&amp;EOMONTH(EDATE(EDATE(DATE(YEAR($E$3),MONTH($E$3),1),-($E$3&lt;EOMONTH($E$3,0))),-5),0)+1,'Данные'!$B:$B,$B$3)</f>
        <v/>
      </c>
      <c r="C49" s="30">
        <f>B49*(100+22)/100</f>
        <v/>
      </c>
      <c r="D49" s="31">
        <f>SUMIFS('Данные'!$D:$D,'Данные'!$A:$A,"&gt;="&amp;EDATE(EDATE(DATE(YEAR($E$3),MONTH($E$3),1),-($E$3&lt;EOMONTH($E$3,0))),-5),'Данные'!$A:$A,"&lt;"&amp;EOMONTH(EDATE(EDATE(DATE(YEAR($E$3),MONTH($E$3),1),-($E$3&lt;EOMONTH($E$3,0))),-5),0)+1,'Данные'!$B:$B,$B$3)</f>
        <v/>
      </c>
      <c r="E49" s="31">
        <f>SUMIFS('Данные'!$E:$E,'Данные'!$A:$A,"&gt;="&amp;EDATE(EDATE(DATE(YEAR($E$3),MONTH($E$3),1),-($E$3&lt;EOMONTH($E$3,0))),-5),'Данные'!$A:$A,"&lt;"&amp;EOMONTH(EDATE(EDATE(DATE(YEAR($E$3),MONTH($E$3),1),-($E$3&lt;EOMONTH($E$3,0))),-5),0)+1,'Данные'!$B:$B,$B$3)</f>
        <v/>
      </c>
      <c r="F49" s="32">
        <f>IFERROR(E49/D49,"")</f>
        <v/>
      </c>
      <c r="G49" s="33">
        <f>IFERROR(B49/E49,"")</f>
        <v/>
      </c>
      <c r="H49" s="31">
        <f>SUMIFS('Данные'!$F:$F,'Данные'!$A:$A,"&gt;="&amp;EDATE(EDATE(DATE(YEAR($E$3),MONTH($E$3),1),-($E$3&lt;EOMONTH($E$3,0))),-5),'Данные'!$A:$A,"&lt;"&amp;EOMONTH(EDATE(EDATE(DATE(YEAR($E$3),MONTH($E$3),1),-($E$3&lt;EOMONTH($E$3,0))),-5),0)+1,'Данные'!$B:$B,$B$3)</f>
        <v/>
      </c>
      <c r="I49" s="33">
        <f>IFERROR(B49/H49,"")</f>
        <v/>
      </c>
      <c r="J49" s="34">
        <f>IFERROR(H49/E49,"")</f>
        <v/>
      </c>
    </row>
    <row r="50">
      <c r="A50" s="36">
        <f>CHOOSE(MONTH(EDATE(EDATE(DATE(YEAR($E$3),MONTH($E$3),1),-($E$3&lt;EOMONTH($E$3,0))),-4)),"Январь","Февраль","Март","Апрель","Май","Июнь","Июль","Август","Сентябрь","Октябрь","Ноябрь","Декабрь")&amp;" "&amp;YEAR(EDATE(EDATE(DATE(YEAR($E$3),MONTH($E$3),1),-($E$3&lt;EOMONTH($E$3,0))),-4))</f>
        <v/>
      </c>
      <c r="B50" s="37">
        <f>SUMIFS('Данные'!$C:$C,'Данные'!$A:$A,"&gt;="&amp;EDATE(EDATE(DATE(YEAR($E$3),MONTH($E$3),1),-($E$3&lt;EOMONTH($E$3,0))),-4),'Данные'!$A:$A,"&lt;"&amp;EOMONTH(EDATE(EDATE(DATE(YEAR($E$3),MONTH($E$3),1),-($E$3&lt;EOMONTH($E$3,0))),-4),0)+1,'Данные'!$B:$B,$B$3)</f>
        <v/>
      </c>
      <c r="C50" s="37">
        <f>B50*(100+22)/100</f>
        <v/>
      </c>
      <c r="D50" s="38">
        <f>SUMIFS('Данные'!$D:$D,'Данные'!$A:$A,"&gt;="&amp;EDATE(EDATE(DATE(YEAR($E$3),MONTH($E$3),1),-($E$3&lt;EOMONTH($E$3,0))),-4),'Данные'!$A:$A,"&lt;"&amp;EOMONTH(EDATE(EDATE(DATE(YEAR($E$3),MONTH($E$3),1),-($E$3&lt;EOMONTH($E$3,0))),-4),0)+1,'Данные'!$B:$B,$B$3)</f>
        <v/>
      </c>
      <c r="E50" s="38">
        <f>SUMIFS('Данные'!$E:$E,'Данные'!$A:$A,"&gt;="&amp;EDATE(EDATE(DATE(YEAR($E$3),MONTH($E$3),1),-($E$3&lt;EOMONTH($E$3,0))),-4),'Данные'!$A:$A,"&lt;"&amp;EOMONTH(EDATE(EDATE(DATE(YEAR($E$3),MONTH($E$3),1),-($E$3&lt;EOMONTH($E$3,0))),-4),0)+1,'Данные'!$B:$B,$B$3)</f>
        <v/>
      </c>
      <c r="F50" s="39">
        <f>IFERROR(E50/D50,"")</f>
        <v/>
      </c>
      <c r="G50" s="40">
        <f>IFERROR(B50/E50,"")</f>
        <v/>
      </c>
      <c r="H50" s="38">
        <f>SUMIFS('Данные'!$F:$F,'Данные'!$A:$A,"&gt;="&amp;EDATE(EDATE(DATE(YEAR($E$3),MONTH($E$3),1),-($E$3&lt;EOMONTH($E$3,0))),-4),'Данные'!$A:$A,"&lt;"&amp;EOMONTH(EDATE(EDATE(DATE(YEAR($E$3),MONTH($E$3),1),-($E$3&lt;EOMONTH($E$3,0))),-4),0)+1,'Данные'!$B:$B,$B$3)</f>
        <v/>
      </c>
      <c r="I50" s="40">
        <f>IFERROR(B50/H50,"")</f>
        <v/>
      </c>
      <c r="J50" s="41">
        <f>IFERROR(H50/E50,"")</f>
        <v/>
      </c>
    </row>
    <row r="51">
      <c r="A51" s="29">
        <f>CHOOSE(MONTH(EDATE(EDATE(DATE(YEAR($E$3),MONTH($E$3),1),-($E$3&lt;EOMONTH($E$3,0))),-3)),"Январь","Февраль","Март","Апрель","Май","Июнь","Июль","Август","Сентябрь","Октябрь","Ноябрь","Декабрь")&amp;" "&amp;YEAR(EDATE(EDATE(DATE(YEAR($E$3),MONTH($E$3),1),-($E$3&lt;EOMONTH($E$3,0))),-3))</f>
        <v/>
      </c>
      <c r="B51" s="30">
        <f>SUMIFS('Данные'!$C:$C,'Данные'!$A:$A,"&gt;="&amp;EDATE(EDATE(DATE(YEAR($E$3),MONTH($E$3),1),-($E$3&lt;EOMONTH($E$3,0))),-3),'Данные'!$A:$A,"&lt;"&amp;EOMONTH(EDATE(EDATE(DATE(YEAR($E$3),MONTH($E$3),1),-($E$3&lt;EOMONTH($E$3,0))),-3),0)+1,'Данные'!$B:$B,$B$3)</f>
        <v/>
      </c>
      <c r="C51" s="30">
        <f>B51*(100+22)/100</f>
        <v/>
      </c>
      <c r="D51" s="31">
        <f>SUMIFS('Данные'!$D:$D,'Данные'!$A:$A,"&gt;="&amp;EDATE(EDATE(DATE(YEAR($E$3),MONTH($E$3),1),-($E$3&lt;EOMONTH($E$3,0))),-3),'Данные'!$A:$A,"&lt;"&amp;EOMONTH(EDATE(EDATE(DATE(YEAR($E$3),MONTH($E$3),1),-($E$3&lt;EOMONTH($E$3,0))),-3),0)+1,'Данные'!$B:$B,$B$3)</f>
        <v/>
      </c>
      <c r="E51" s="31">
        <f>SUMIFS('Данные'!$E:$E,'Данные'!$A:$A,"&gt;="&amp;EDATE(EDATE(DATE(YEAR($E$3),MONTH($E$3),1),-($E$3&lt;EOMONTH($E$3,0))),-3),'Данные'!$A:$A,"&lt;"&amp;EOMONTH(EDATE(EDATE(DATE(YEAR($E$3),MONTH($E$3),1),-($E$3&lt;EOMONTH($E$3,0))),-3),0)+1,'Данные'!$B:$B,$B$3)</f>
        <v/>
      </c>
      <c r="F51" s="32">
        <f>IFERROR(E51/D51,"")</f>
        <v/>
      </c>
      <c r="G51" s="33">
        <f>IFERROR(B51/E51,"")</f>
        <v/>
      </c>
      <c r="H51" s="31">
        <f>SUMIFS('Данные'!$F:$F,'Данные'!$A:$A,"&gt;="&amp;EDATE(EDATE(DATE(YEAR($E$3),MONTH($E$3),1),-($E$3&lt;EOMONTH($E$3,0))),-3),'Данные'!$A:$A,"&lt;"&amp;EOMONTH(EDATE(EDATE(DATE(YEAR($E$3),MONTH($E$3),1),-($E$3&lt;EOMONTH($E$3,0))),-3),0)+1,'Данные'!$B:$B,$B$3)</f>
        <v/>
      </c>
      <c r="I51" s="33">
        <f>IFERROR(B51/H51,"")</f>
        <v/>
      </c>
      <c r="J51" s="34">
        <f>IFERROR(H51/E51,"")</f>
        <v/>
      </c>
    </row>
    <row r="52">
      <c r="A52" s="36">
        <f>CHOOSE(MONTH(EDATE(EDATE(DATE(YEAR($E$3),MONTH($E$3),1),-($E$3&lt;EOMONTH($E$3,0))),-2)),"Январь","Февраль","Март","Апрель","Май","Июнь","Июль","Август","Сентябрь","Октябрь","Ноябрь","Декабрь")&amp;" "&amp;YEAR(EDATE(EDATE(DATE(YEAR($E$3),MONTH($E$3),1),-($E$3&lt;EOMONTH($E$3,0))),-2))</f>
        <v/>
      </c>
      <c r="B52" s="37">
        <f>SUMIFS('Данные'!$C:$C,'Данные'!$A:$A,"&gt;="&amp;EDATE(EDATE(DATE(YEAR($E$3),MONTH($E$3),1),-($E$3&lt;EOMONTH($E$3,0))),-2),'Данные'!$A:$A,"&lt;"&amp;EOMONTH(EDATE(EDATE(DATE(YEAR($E$3),MONTH($E$3),1),-($E$3&lt;EOMONTH($E$3,0))),-2),0)+1,'Данные'!$B:$B,$B$3)</f>
        <v/>
      </c>
      <c r="C52" s="37">
        <f>B52*(100+22)/100</f>
        <v/>
      </c>
      <c r="D52" s="38">
        <f>SUMIFS('Данные'!$D:$D,'Данные'!$A:$A,"&gt;="&amp;EDATE(EDATE(DATE(YEAR($E$3),MONTH($E$3),1),-($E$3&lt;EOMONTH($E$3,0))),-2),'Данные'!$A:$A,"&lt;"&amp;EOMONTH(EDATE(EDATE(DATE(YEAR($E$3),MONTH($E$3),1),-($E$3&lt;EOMONTH($E$3,0))),-2),0)+1,'Данные'!$B:$B,$B$3)</f>
        <v/>
      </c>
      <c r="E52" s="38">
        <f>SUMIFS('Данные'!$E:$E,'Данные'!$A:$A,"&gt;="&amp;EDATE(EDATE(DATE(YEAR($E$3),MONTH($E$3),1),-($E$3&lt;EOMONTH($E$3,0))),-2),'Данные'!$A:$A,"&lt;"&amp;EOMONTH(EDATE(EDATE(DATE(YEAR($E$3),MONTH($E$3),1),-($E$3&lt;EOMONTH($E$3,0))),-2),0)+1,'Данные'!$B:$B,$B$3)</f>
        <v/>
      </c>
      <c r="F52" s="39">
        <f>IFERROR(E52/D52,"")</f>
        <v/>
      </c>
      <c r="G52" s="40">
        <f>IFERROR(B52/E52,"")</f>
        <v/>
      </c>
      <c r="H52" s="38">
        <f>SUMIFS('Данные'!$F:$F,'Данные'!$A:$A,"&gt;="&amp;EDATE(EDATE(DATE(YEAR($E$3),MONTH($E$3),1),-($E$3&lt;EOMONTH($E$3,0))),-2),'Данные'!$A:$A,"&lt;"&amp;EOMONTH(EDATE(EDATE(DATE(YEAR($E$3),MONTH($E$3),1),-($E$3&lt;EOMONTH($E$3,0))),-2),0)+1,'Данные'!$B:$B,$B$3)</f>
        <v/>
      </c>
      <c r="I52" s="40">
        <f>IFERROR(B52/H52,"")</f>
        <v/>
      </c>
      <c r="J52" s="41">
        <f>IFERROR(H52/E52,"")</f>
        <v/>
      </c>
    </row>
    <row r="53">
      <c r="A53" s="29">
        <f>CHOOSE(MONTH(EDATE(EDATE(DATE(YEAR($E$3),MONTH($E$3),1),-($E$3&lt;EOMONTH($E$3,0))),-1)),"Январь","Февраль","Март","Апрель","Май","Июнь","Июль","Август","Сентябрь","Октябрь","Ноябрь","Декабрь")&amp;" "&amp;YEAR(EDATE(EDATE(DATE(YEAR($E$3),MONTH($E$3),1),-($E$3&lt;EOMONTH($E$3,0))),-1))</f>
        <v/>
      </c>
      <c r="B53" s="30">
        <f>SUMIFS('Данные'!$C:$C,'Данные'!$A:$A,"&gt;="&amp;EDATE(EDATE(DATE(YEAR($E$3),MONTH($E$3),1),-($E$3&lt;EOMONTH($E$3,0))),-1),'Данные'!$A:$A,"&lt;"&amp;EOMONTH(EDATE(EDATE(DATE(YEAR($E$3),MONTH($E$3),1),-($E$3&lt;EOMONTH($E$3,0))),-1),0)+1,'Данные'!$B:$B,$B$3)</f>
        <v/>
      </c>
      <c r="C53" s="30">
        <f>B53*(100+22)/100</f>
        <v/>
      </c>
      <c r="D53" s="31">
        <f>SUMIFS('Данные'!$D:$D,'Данные'!$A:$A,"&gt;="&amp;EDATE(EDATE(DATE(YEAR($E$3),MONTH($E$3),1),-($E$3&lt;EOMONTH($E$3,0))),-1),'Данные'!$A:$A,"&lt;"&amp;EOMONTH(EDATE(EDATE(DATE(YEAR($E$3),MONTH($E$3),1),-($E$3&lt;EOMONTH($E$3,0))),-1),0)+1,'Данные'!$B:$B,$B$3)</f>
        <v/>
      </c>
      <c r="E53" s="31">
        <f>SUMIFS('Данные'!$E:$E,'Данные'!$A:$A,"&gt;="&amp;EDATE(EDATE(DATE(YEAR($E$3),MONTH($E$3),1),-($E$3&lt;EOMONTH($E$3,0))),-1),'Данные'!$A:$A,"&lt;"&amp;EOMONTH(EDATE(EDATE(DATE(YEAR($E$3),MONTH($E$3),1),-($E$3&lt;EOMONTH($E$3,0))),-1),0)+1,'Данные'!$B:$B,$B$3)</f>
        <v/>
      </c>
      <c r="F53" s="32">
        <f>IFERROR(E53/D53,"")</f>
        <v/>
      </c>
      <c r="G53" s="33">
        <f>IFERROR(B53/E53,"")</f>
        <v/>
      </c>
      <c r="H53" s="31">
        <f>SUMIFS('Данные'!$F:$F,'Данные'!$A:$A,"&gt;="&amp;EDATE(EDATE(DATE(YEAR($E$3),MONTH($E$3),1),-($E$3&lt;EOMONTH($E$3,0))),-1),'Данные'!$A:$A,"&lt;"&amp;EOMONTH(EDATE(EDATE(DATE(YEAR($E$3),MONTH($E$3),1),-($E$3&lt;EOMONTH($E$3,0))),-1),0)+1,'Данные'!$B:$B,$B$3)</f>
        <v/>
      </c>
      <c r="I53" s="33">
        <f>IFERROR(B53/H53,"")</f>
        <v/>
      </c>
      <c r="J53" s="34">
        <f>IFERROR(H53/E53,"")</f>
        <v/>
      </c>
    </row>
    <row r="54">
      <c r="A54" s="36">
        <f>CHOOSE(MONTH(EDATE(EDATE(DATE(YEAR($E$3),MONTH($E$3),1),-($E$3&lt;EOMONTH($E$3,0))),0)),"Январь","Февраль","Март","Апрель","Май","Июнь","Июль","Август","Сентябрь","Октябрь","Ноябрь","Декабрь")&amp;" "&amp;YEAR(EDATE(EDATE(DATE(YEAR($E$3),MONTH($E$3),1),-($E$3&lt;EOMONTH($E$3,0))),0))</f>
        <v/>
      </c>
      <c r="B54" s="37">
        <f>SUMIFS('Данные'!$C:$C,'Данные'!$A:$A,"&gt;="&amp;EDATE(EDATE(DATE(YEAR($E$3),MONTH($E$3),1),-($E$3&lt;EOMONTH($E$3,0))),0),'Данные'!$A:$A,"&lt;"&amp;EOMONTH(EDATE(EDATE(DATE(YEAR($E$3),MONTH($E$3),1),-($E$3&lt;EOMONTH($E$3,0))),0),0)+1,'Данные'!$B:$B,$B$3)</f>
        <v/>
      </c>
      <c r="C54" s="37">
        <f>B54*(100+22)/100</f>
        <v/>
      </c>
      <c r="D54" s="38">
        <f>SUMIFS('Данные'!$D:$D,'Данные'!$A:$A,"&gt;="&amp;EDATE(EDATE(DATE(YEAR($E$3),MONTH($E$3),1),-($E$3&lt;EOMONTH($E$3,0))),0),'Данные'!$A:$A,"&lt;"&amp;EOMONTH(EDATE(EDATE(DATE(YEAR($E$3),MONTH($E$3),1),-($E$3&lt;EOMONTH($E$3,0))),0),0)+1,'Данные'!$B:$B,$B$3)</f>
        <v/>
      </c>
      <c r="E54" s="38">
        <f>SUMIFS('Данные'!$E:$E,'Данные'!$A:$A,"&gt;="&amp;EDATE(EDATE(DATE(YEAR($E$3),MONTH($E$3),1),-($E$3&lt;EOMONTH($E$3,0))),0),'Данные'!$A:$A,"&lt;"&amp;EOMONTH(EDATE(EDATE(DATE(YEAR($E$3),MONTH($E$3),1),-($E$3&lt;EOMONTH($E$3,0))),0),0)+1,'Данные'!$B:$B,$B$3)</f>
        <v/>
      </c>
      <c r="F54" s="39">
        <f>IFERROR(E54/D54,"")</f>
        <v/>
      </c>
      <c r="G54" s="40">
        <f>IFERROR(B54/E54,"")</f>
        <v/>
      </c>
      <c r="H54" s="38">
        <f>SUMIFS('Данные'!$F:$F,'Данные'!$A:$A,"&gt;="&amp;EDATE(EDATE(DATE(YEAR($E$3),MONTH($E$3),1),-($E$3&lt;EOMONTH($E$3,0))),0),'Данные'!$A:$A,"&lt;"&amp;EOMONTH(EDATE(EDATE(DATE(YEAR($E$3),MONTH($E$3),1),-($E$3&lt;EOMONTH($E$3,0))),0),0)+1,'Данные'!$B:$B,$B$3)</f>
        <v/>
      </c>
      <c r="I54" s="40">
        <f>IFERROR(B54/H54,"")</f>
        <v/>
      </c>
      <c r="J54" s="41">
        <f>IFERROR(H54/E54,"")</f>
        <v/>
      </c>
    </row>
    <row r="55">
      <c r="A55" s="59" t="inlineStr">
        <is>
          <t>Разница с прошлым месяцем</t>
        </is>
      </c>
      <c r="B55" s="60">
        <f>IFERROR(B54/B53-1,"")</f>
        <v/>
      </c>
      <c r="C55" s="60">
        <f>IFERROR(C54/C53-1,"")</f>
        <v/>
      </c>
      <c r="D55" s="60">
        <f>IFERROR(D54/D53-1,"")</f>
        <v/>
      </c>
      <c r="E55" s="60">
        <f>IFERROR(E54/E53-1,"")</f>
        <v/>
      </c>
      <c r="F55" s="60">
        <f>IFERROR(F54/F53-1,"")</f>
        <v/>
      </c>
      <c r="G55" s="60">
        <f>IFERROR(G54/G53-1,"")</f>
        <v/>
      </c>
      <c r="H55" s="60">
        <f>IFERROR(H54/H53-1,"")</f>
        <v/>
      </c>
      <c r="I55" s="60">
        <f>IFERROR(I54/I53-1,"")</f>
        <v/>
      </c>
      <c r="J55" s="60">
        <f>IFERROR(J54/J53-1,"")</f>
        <v/>
      </c>
    </row>
    <row r="57">
      <c r="A57" s="9">
        <f>"📆 По дням: "&amp;TEXT($K$7,"DD.MM.YYYY")&amp;" — "&amp;TEXT($L$7,"DD.MM.YYYY")</f>
        <v/>
      </c>
    </row>
    <row r="58">
      <c r="A58" s="11" t="inlineStr">
        <is>
          <t>День</t>
        </is>
      </c>
      <c r="B58" s="11" t="inlineStr">
        <is>
          <t>Расход</t>
        </is>
      </c>
      <c r="C58" s="11" t="inlineStr">
        <is>
          <t>Расход с НДС</t>
        </is>
      </c>
      <c r="D58" s="11" t="inlineStr">
        <is>
          <t>Показы</t>
        </is>
      </c>
      <c r="E58" s="11" t="inlineStr">
        <is>
          <t>Клики</t>
        </is>
      </c>
      <c r="F58" s="11" t="inlineStr">
        <is>
          <t>CTR</t>
        </is>
      </c>
      <c r="G58" s="11" t="inlineStr">
        <is>
          <t>CPC</t>
        </is>
      </c>
      <c r="H58" s="11" t="inlineStr">
        <is>
          <t>Подписки</t>
        </is>
      </c>
      <c r="I58" s="11" t="inlineStr">
        <is>
          <t>Цена подписки</t>
        </is>
      </c>
      <c r="J58" s="11" t="inlineStr">
        <is>
          <t>CR в подписку</t>
        </is>
      </c>
    </row>
    <row r="59">
      <c r="A59" s="29">
        <f>IF(($K$7+0)&gt;$L$7,"",TEXT(($K$7+0),"DD.MM")&amp;" "&amp;CHOOSE(WEEKDAY(($K$7+0),2),"пн","вт","ср","чт","пт","сб","вс"))</f>
        <v/>
      </c>
      <c r="B59" s="30">
        <f>IF(($K$7+0)&gt;$L$7,"",SUMIFS('Данные'!$C:$C,'Данные'!$A:$A,"&gt;="&amp;($K$7+0),'Данные'!$A:$A,"&lt;"&amp;($K$7+0)+1,'Данные'!$B:$B,$B$3))</f>
        <v/>
      </c>
      <c r="C59" s="30">
        <f>IF(($K$7+0)&gt;$L$7,"",B59*(100+22)/100)</f>
        <v/>
      </c>
      <c r="D59" s="31">
        <f>IF(($K$7+0)&gt;$L$7,"",SUMIFS('Данные'!$D:$D,'Данные'!$A:$A,"&gt;="&amp;($K$7+0),'Данные'!$A:$A,"&lt;"&amp;($K$7+0)+1,'Данные'!$B:$B,$B$3))</f>
        <v/>
      </c>
      <c r="E59" s="31">
        <f>IF(($K$7+0)&gt;$L$7,"",SUMIFS('Данные'!$E:$E,'Данные'!$A:$A,"&gt;="&amp;($K$7+0),'Данные'!$A:$A,"&lt;"&amp;($K$7+0)+1,'Данные'!$B:$B,$B$3))</f>
        <v/>
      </c>
      <c r="F59" s="32">
        <f>IF(($K$7+0)&gt;$L$7,"",IFERROR(E59/D59,""))</f>
        <v/>
      </c>
      <c r="G59" s="33">
        <f>IF(($K$7+0)&gt;$L$7,"",IFERROR(B59/E59,""))</f>
        <v/>
      </c>
      <c r="H59" s="31">
        <f>IF(($K$7+0)&gt;$L$7,"",SUMIFS('Данные'!$F:$F,'Данные'!$A:$A,"&gt;="&amp;($K$7+0),'Данные'!$A:$A,"&lt;"&amp;($K$7+0)+1,'Данные'!$B:$B,$B$3))</f>
        <v/>
      </c>
      <c r="I59" s="33">
        <f>IF(($K$7+0)&gt;$L$7,"",IFERROR(B59/H59,""))</f>
        <v/>
      </c>
      <c r="J59" s="34">
        <f>IF(($K$7+0)&gt;$L$7,"",IFERROR(H59/E59,""))</f>
        <v/>
      </c>
    </row>
    <row r="60">
      <c r="A60" s="36">
        <f>IF(($K$7+1)&gt;$L$7,"",TEXT(($K$7+1),"DD.MM")&amp;" "&amp;CHOOSE(WEEKDAY(($K$7+1),2),"пн","вт","ср","чт","пт","сб","вс"))</f>
        <v/>
      </c>
      <c r="B60" s="37">
        <f>IF(($K$7+1)&gt;$L$7,"",SUMIFS('Данные'!$C:$C,'Данные'!$A:$A,"&gt;="&amp;($K$7+1),'Данные'!$A:$A,"&lt;"&amp;($K$7+1)+1,'Данные'!$B:$B,$B$3))</f>
        <v/>
      </c>
      <c r="C60" s="37">
        <f>IF(($K$7+1)&gt;$L$7,"",B60*(100+22)/100)</f>
        <v/>
      </c>
      <c r="D60" s="38">
        <f>IF(($K$7+1)&gt;$L$7,"",SUMIFS('Данные'!$D:$D,'Данные'!$A:$A,"&gt;="&amp;($K$7+1),'Данные'!$A:$A,"&lt;"&amp;($K$7+1)+1,'Данные'!$B:$B,$B$3))</f>
        <v/>
      </c>
      <c r="E60" s="38">
        <f>IF(($K$7+1)&gt;$L$7,"",SUMIFS('Данные'!$E:$E,'Данные'!$A:$A,"&gt;="&amp;($K$7+1),'Данные'!$A:$A,"&lt;"&amp;($K$7+1)+1,'Данные'!$B:$B,$B$3))</f>
        <v/>
      </c>
      <c r="F60" s="39">
        <f>IF(($K$7+1)&gt;$L$7,"",IFERROR(E60/D60,""))</f>
        <v/>
      </c>
      <c r="G60" s="40">
        <f>IF(($K$7+1)&gt;$L$7,"",IFERROR(B60/E60,""))</f>
        <v/>
      </c>
      <c r="H60" s="38">
        <f>IF(($K$7+1)&gt;$L$7,"",SUMIFS('Данные'!$F:$F,'Данные'!$A:$A,"&gt;="&amp;($K$7+1),'Данные'!$A:$A,"&lt;"&amp;($K$7+1)+1,'Данные'!$B:$B,$B$3))</f>
        <v/>
      </c>
      <c r="I60" s="40">
        <f>IF(($K$7+1)&gt;$L$7,"",IFERROR(B60/H60,""))</f>
        <v/>
      </c>
      <c r="J60" s="41">
        <f>IF(($K$7+1)&gt;$L$7,"",IFERROR(H60/E60,""))</f>
        <v/>
      </c>
    </row>
    <row r="61">
      <c r="A61" s="29">
        <f>IF(($K$7+2)&gt;$L$7,"",TEXT(($K$7+2),"DD.MM")&amp;" "&amp;CHOOSE(WEEKDAY(($K$7+2),2),"пн","вт","ср","чт","пт","сб","вс"))</f>
        <v/>
      </c>
      <c r="B61" s="30">
        <f>IF(($K$7+2)&gt;$L$7,"",SUMIFS('Данные'!$C:$C,'Данные'!$A:$A,"&gt;="&amp;($K$7+2),'Данные'!$A:$A,"&lt;"&amp;($K$7+2)+1,'Данные'!$B:$B,$B$3))</f>
        <v/>
      </c>
      <c r="C61" s="30">
        <f>IF(($K$7+2)&gt;$L$7,"",B61*(100+22)/100)</f>
        <v/>
      </c>
      <c r="D61" s="31">
        <f>IF(($K$7+2)&gt;$L$7,"",SUMIFS('Данные'!$D:$D,'Данные'!$A:$A,"&gt;="&amp;($K$7+2),'Данные'!$A:$A,"&lt;"&amp;($K$7+2)+1,'Данные'!$B:$B,$B$3))</f>
        <v/>
      </c>
      <c r="E61" s="31">
        <f>IF(($K$7+2)&gt;$L$7,"",SUMIFS('Данные'!$E:$E,'Данные'!$A:$A,"&gt;="&amp;($K$7+2),'Данные'!$A:$A,"&lt;"&amp;($K$7+2)+1,'Данные'!$B:$B,$B$3))</f>
        <v/>
      </c>
      <c r="F61" s="32">
        <f>IF(($K$7+2)&gt;$L$7,"",IFERROR(E61/D61,""))</f>
        <v/>
      </c>
      <c r="G61" s="33">
        <f>IF(($K$7+2)&gt;$L$7,"",IFERROR(B61/E61,""))</f>
        <v/>
      </c>
      <c r="H61" s="31">
        <f>IF(($K$7+2)&gt;$L$7,"",SUMIFS('Данные'!$F:$F,'Данные'!$A:$A,"&gt;="&amp;($K$7+2),'Данные'!$A:$A,"&lt;"&amp;($K$7+2)+1,'Данные'!$B:$B,$B$3))</f>
        <v/>
      </c>
      <c r="I61" s="33">
        <f>IF(($K$7+2)&gt;$L$7,"",IFERROR(B61/H61,""))</f>
        <v/>
      </c>
      <c r="J61" s="34">
        <f>IF(($K$7+2)&gt;$L$7,"",IFERROR(H61/E61,""))</f>
        <v/>
      </c>
    </row>
    <row r="62">
      <c r="A62" s="36">
        <f>IF(($K$7+3)&gt;$L$7,"",TEXT(($K$7+3),"DD.MM")&amp;" "&amp;CHOOSE(WEEKDAY(($K$7+3),2),"пн","вт","ср","чт","пт","сб","вс"))</f>
        <v/>
      </c>
      <c r="B62" s="37">
        <f>IF(($K$7+3)&gt;$L$7,"",SUMIFS('Данные'!$C:$C,'Данные'!$A:$A,"&gt;="&amp;($K$7+3),'Данные'!$A:$A,"&lt;"&amp;($K$7+3)+1,'Данные'!$B:$B,$B$3))</f>
        <v/>
      </c>
      <c r="C62" s="37">
        <f>IF(($K$7+3)&gt;$L$7,"",B62*(100+22)/100)</f>
        <v/>
      </c>
      <c r="D62" s="38">
        <f>IF(($K$7+3)&gt;$L$7,"",SUMIFS('Данные'!$D:$D,'Данные'!$A:$A,"&gt;="&amp;($K$7+3),'Данные'!$A:$A,"&lt;"&amp;($K$7+3)+1,'Данные'!$B:$B,$B$3))</f>
        <v/>
      </c>
      <c r="E62" s="38">
        <f>IF(($K$7+3)&gt;$L$7,"",SUMIFS('Данные'!$E:$E,'Данные'!$A:$A,"&gt;="&amp;($K$7+3),'Данные'!$A:$A,"&lt;"&amp;($K$7+3)+1,'Данные'!$B:$B,$B$3))</f>
        <v/>
      </c>
      <c r="F62" s="39">
        <f>IF(($K$7+3)&gt;$L$7,"",IFERROR(E62/D62,""))</f>
        <v/>
      </c>
      <c r="G62" s="40">
        <f>IF(($K$7+3)&gt;$L$7,"",IFERROR(B62/E62,""))</f>
        <v/>
      </c>
      <c r="H62" s="38">
        <f>IF(($K$7+3)&gt;$L$7,"",SUMIFS('Данные'!$F:$F,'Данные'!$A:$A,"&gt;="&amp;($K$7+3),'Данные'!$A:$A,"&lt;"&amp;($K$7+3)+1,'Данные'!$B:$B,$B$3))</f>
        <v/>
      </c>
      <c r="I62" s="40">
        <f>IF(($K$7+3)&gt;$L$7,"",IFERROR(B62/H62,""))</f>
        <v/>
      </c>
      <c r="J62" s="41">
        <f>IF(($K$7+3)&gt;$L$7,"",IFERROR(H62/E62,""))</f>
        <v/>
      </c>
    </row>
    <row r="63">
      <c r="A63" s="29">
        <f>IF(($K$7+4)&gt;$L$7,"",TEXT(($K$7+4),"DD.MM")&amp;" "&amp;CHOOSE(WEEKDAY(($K$7+4),2),"пн","вт","ср","чт","пт","сб","вс"))</f>
        <v/>
      </c>
      <c r="B63" s="30">
        <f>IF(($K$7+4)&gt;$L$7,"",SUMIFS('Данные'!$C:$C,'Данные'!$A:$A,"&gt;="&amp;($K$7+4),'Данные'!$A:$A,"&lt;"&amp;($K$7+4)+1,'Данные'!$B:$B,$B$3))</f>
        <v/>
      </c>
      <c r="C63" s="30">
        <f>IF(($K$7+4)&gt;$L$7,"",B63*(100+22)/100)</f>
        <v/>
      </c>
      <c r="D63" s="31">
        <f>IF(($K$7+4)&gt;$L$7,"",SUMIFS('Данные'!$D:$D,'Данные'!$A:$A,"&gt;="&amp;($K$7+4),'Данные'!$A:$A,"&lt;"&amp;($K$7+4)+1,'Данные'!$B:$B,$B$3))</f>
        <v/>
      </c>
      <c r="E63" s="31">
        <f>IF(($K$7+4)&gt;$L$7,"",SUMIFS('Данные'!$E:$E,'Данные'!$A:$A,"&gt;="&amp;($K$7+4),'Данные'!$A:$A,"&lt;"&amp;($K$7+4)+1,'Данные'!$B:$B,$B$3))</f>
        <v/>
      </c>
      <c r="F63" s="32">
        <f>IF(($K$7+4)&gt;$L$7,"",IFERROR(E63/D63,""))</f>
        <v/>
      </c>
      <c r="G63" s="33">
        <f>IF(($K$7+4)&gt;$L$7,"",IFERROR(B63/E63,""))</f>
        <v/>
      </c>
      <c r="H63" s="31">
        <f>IF(($K$7+4)&gt;$L$7,"",SUMIFS('Данные'!$F:$F,'Данные'!$A:$A,"&gt;="&amp;($K$7+4),'Данные'!$A:$A,"&lt;"&amp;($K$7+4)+1,'Данные'!$B:$B,$B$3))</f>
        <v/>
      </c>
      <c r="I63" s="33">
        <f>IF(($K$7+4)&gt;$L$7,"",IFERROR(B63/H63,""))</f>
        <v/>
      </c>
      <c r="J63" s="34">
        <f>IF(($K$7+4)&gt;$L$7,"",IFERROR(H63/E63,""))</f>
        <v/>
      </c>
    </row>
    <row r="64">
      <c r="A64" s="36">
        <f>IF(($K$7+5)&gt;$L$7,"",TEXT(($K$7+5),"DD.MM")&amp;" "&amp;CHOOSE(WEEKDAY(($K$7+5),2),"пн","вт","ср","чт","пт","сб","вс"))</f>
        <v/>
      </c>
      <c r="B64" s="37">
        <f>IF(($K$7+5)&gt;$L$7,"",SUMIFS('Данные'!$C:$C,'Данные'!$A:$A,"&gt;="&amp;($K$7+5),'Данные'!$A:$A,"&lt;"&amp;($K$7+5)+1,'Данные'!$B:$B,$B$3))</f>
        <v/>
      </c>
      <c r="C64" s="37">
        <f>IF(($K$7+5)&gt;$L$7,"",B64*(100+22)/100)</f>
        <v/>
      </c>
      <c r="D64" s="38">
        <f>IF(($K$7+5)&gt;$L$7,"",SUMIFS('Данные'!$D:$D,'Данные'!$A:$A,"&gt;="&amp;($K$7+5),'Данные'!$A:$A,"&lt;"&amp;($K$7+5)+1,'Данные'!$B:$B,$B$3))</f>
        <v/>
      </c>
      <c r="E64" s="38">
        <f>IF(($K$7+5)&gt;$L$7,"",SUMIFS('Данные'!$E:$E,'Данные'!$A:$A,"&gt;="&amp;($K$7+5),'Данные'!$A:$A,"&lt;"&amp;($K$7+5)+1,'Данные'!$B:$B,$B$3))</f>
        <v/>
      </c>
      <c r="F64" s="39">
        <f>IF(($K$7+5)&gt;$L$7,"",IFERROR(E64/D64,""))</f>
        <v/>
      </c>
      <c r="G64" s="40">
        <f>IF(($K$7+5)&gt;$L$7,"",IFERROR(B64/E64,""))</f>
        <v/>
      </c>
      <c r="H64" s="38">
        <f>IF(($K$7+5)&gt;$L$7,"",SUMIFS('Данные'!$F:$F,'Данные'!$A:$A,"&gt;="&amp;($K$7+5),'Данные'!$A:$A,"&lt;"&amp;($K$7+5)+1,'Данные'!$B:$B,$B$3))</f>
        <v/>
      </c>
      <c r="I64" s="40">
        <f>IF(($K$7+5)&gt;$L$7,"",IFERROR(B64/H64,""))</f>
        <v/>
      </c>
      <c r="J64" s="41">
        <f>IF(($K$7+5)&gt;$L$7,"",IFERROR(H64/E64,""))</f>
        <v/>
      </c>
    </row>
    <row r="65">
      <c r="A65" s="29">
        <f>IF(($K$7+6)&gt;$L$7,"",TEXT(($K$7+6),"DD.MM")&amp;" "&amp;CHOOSE(WEEKDAY(($K$7+6),2),"пн","вт","ср","чт","пт","сб","вс"))</f>
        <v/>
      </c>
      <c r="B65" s="30">
        <f>IF(($K$7+6)&gt;$L$7,"",SUMIFS('Данные'!$C:$C,'Данные'!$A:$A,"&gt;="&amp;($K$7+6),'Данные'!$A:$A,"&lt;"&amp;($K$7+6)+1,'Данные'!$B:$B,$B$3))</f>
        <v/>
      </c>
      <c r="C65" s="30">
        <f>IF(($K$7+6)&gt;$L$7,"",B65*(100+22)/100)</f>
        <v/>
      </c>
      <c r="D65" s="31">
        <f>IF(($K$7+6)&gt;$L$7,"",SUMIFS('Данные'!$D:$D,'Данные'!$A:$A,"&gt;="&amp;($K$7+6),'Данные'!$A:$A,"&lt;"&amp;($K$7+6)+1,'Данные'!$B:$B,$B$3))</f>
        <v/>
      </c>
      <c r="E65" s="31">
        <f>IF(($K$7+6)&gt;$L$7,"",SUMIFS('Данные'!$E:$E,'Данные'!$A:$A,"&gt;="&amp;($K$7+6),'Данные'!$A:$A,"&lt;"&amp;($K$7+6)+1,'Данные'!$B:$B,$B$3))</f>
        <v/>
      </c>
      <c r="F65" s="32">
        <f>IF(($K$7+6)&gt;$L$7,"",IFERROR(E65/D65,""))</f>
        <v/>
      </c>
      <c r="G65" s="33">
        <f>IF(($K$7+6)&gt;$L$7,"",IFERROR(B65/E65,""))</f>
        <v/>
      </c>
      <c r="H65" s="31">
        <f>IF(($K$7+6)&gt;$L$7,"",SUMIFS('Данные'!$F:$F,'Данные'!$A:$A,"&gt;="&amp;($K$7+6),'Данные'!$A:$A,"&lt;"&amp;($K$7+6)+1,'Данные'!$B:$B,$B$3))</f>
        <v/>
      </c>
      <c r="I65" s="33">
        <f>IF(($K$7+6)&gt;$L$7,"",IFERROR(B65/H65,""))</f>
        <v/>
      </c>
      <c r="J65" s="34">
        <f>IF(($K$7+6)&gt;$L$7,"",IFERROR(H65/E65,""))</f>
        <v/>
      </c>
    </row>
    <row r="66">
      <c r="A66" s="36">
        <f>IF(($K$7+7)&gt;$L$7,"",TEXT(($K$7+7),"DD.MM")&amp;" "&amp;CHOOSE(WEEKDAY(($K$7+7),2),"пн","вт","ср","чт","пт","сб","вс"))</f>
        <v/>
      </c>
      <c r="B66" s="37">
        <f>IF(($K$7+7)&gt;$L$7,"",SUMIFS('Данные'!$C:$C,'Данные'!$A:$A,"&gt;="&amp;($K$7+7),'Данные'!$A:$A,"&lt;"&amp;($K$7+7)+1,'Данные'!$B:$B,$B$3))</f>
        <v/>
      </c>
      <c r="C66" s="37">
        <f>IF(($K$7+7)&gt;$L$7,"",B66*(100+22)/100)</f>
        <v/>
      </c>
      <c r="D66" s="38">
        <f>IF(($K$7+7)&gt;$L$7,"",SUMIFS('Данные'!$D:$D,'Данные'!$A:$A,"&gt;="&amp;($K$7+7),'Данные'!$A:$A,"&lt;"&amp;($K$7+7)+1,'Данные'!$B:$B,$B$3))</f>
        <v/>
      </c>
      <c r="E66" s="38">
        <f>IF(($K$7+7)&gt;$L$7,"",SUMIFS('Данные'!$E:$E,'Данные'!$A:$A,"&gt;="&amp;($K$7+7),'Данные'!$A:$A,"&lt;"&amp;($K$7+7)+1,'Данные'!$B:$B,$B$3))</f>
        <v/>
      </c>
      <c r="F66" s="39">
        <f>IF(($K$7+7)&gt;$L$7,"",IFERROR(E66/D66,""))</f>
        <v/>
      </c>
      <c r="G66" s="40">
        <f>IF(($K$7+7)&gt;$L$7,"",IFERROR(B66/E66,""))</f>
        <v/>
      </c>
      <c r="H66" s="38">
        <f>IF(($K$7+7)&gt;$L$7,"",SUMIFS('Данные'!$F:$F,'Данные'!$A:$A,"&gt;="&amp;($K$7+7),'Данные'!$A:$A,"&lt;"&amp;($K$7+7)+1,'Данные'!$B:$B,$B$3))</f>
        <v/>
      </c>
      <c r="I66" s="40">
        <f>IF(($K$7+7)&gt;$L$7,"",IFERROR(B66/H66,""))</f>
        <v/>
      </c>
      <c r="J66" s="41">
        <f>IF(($K$7+7)&gt;$L$7,"",IFERROR(H66/E66,""))</f>
        <v/>
      </c>
    </row>
    <row r="67">
      <c r="A67" s="29">
        <f>IF(($K$7+8)&gt;$L$7,"",TEXT(($K$7+8),"DD.MM")&amp;" "&amp;CHOOSE(WEEKDAY(($K$7+8),2),"пн","вт","ср","чт","пт","сб","вс"))</f>
        <v/>
      </c>
      <c r="B67" s="30">
        <f>IF(($K$7+8)&gt;$L$7,"",SUMIFS('Данные'!$C:$C,'Данные'!$A:$A,"&gt;="&amp;($K$7+8),'Данные'!$A:$A,"&lt;"&amp;($K$7+8)+1,'Данные'!$B:$B,$B$3))</f>
        <v/>
      </c>
      <c r="C67" s="30">
        <f>IF(($K$7+8)&gt;$L$7,"",B67*(100+22)/100)</f>
        <v/>
      </c>
      <c r="D67" s="31">
        <f>IF(($K$7+8)&gt;$L$7,"",SUMIFS('Данные'!$D:$D,'Данные'!$A:$A,"&gt;="&amp;($K$7+8),'Данные'!$A:$A,"&lt;"&amp;($K$7+8)+1,'Данные'!$B:$B,$B$3))</f>
        <v/>
      </c>
      <c r="E67" s="31">
        <f>IF(($K$7+8)&gt;$L$7,"",SUMIFS('Данные'!$E:$E,'Данные'!$A:$A,"&gt;="&amp;($K$7+8),'Данные'!$A:$A,"&lt;"&amp;($K$7+8)+1,'Данные'!$B:$B,$B$3))</f>
        <v/>
      </c>
      <c r="F67" s="32">
        <f>IF(($K$7+8)&gt;$L$7,"",IFERROR(E67/D67,""))</f>
        <v/>
      </c>
      <c r="G67" s="33">
        <f>IF(($K$7+8)&gt;$L$7,"",IFERROR(B67/E67,""))</f>
        <v/>
      </c>
      <c r="H67" s="31">
        <f>IF(($K$7+8)&gt;$L$7,"",SUMIFS('Данные'!$F:$F,'Данные'!$A:$A,"&gt;="&amp;($K$7+8),'Данные'!$A:$A,"&lt;"&amp;($K$7+8)+1,'Данные'!$B:$B,$B$3))</f>
        <v/>
      </c>
      <c r="I67" s="33">
        <f>IF(($K$7+8)&gt;$L$7,"",IFERROR(B67/H67,""))</f>
        <v/>
      </c>
      <c r="J67" s="34">
        <f>IF(($K$7+8)&gt;$L$7,"",IFERROR(H67/E67,""))</f>
        <v/>
      </c>
    </row>
    <row r="68">
      <c r="A68" s="36">
        <f>IF(($K$7+9)&gt;$L$7,"",TEXT(($K$7+9),"DD.MM")&amp;" "&amp;CHOOSE(WEEKDAY(($K$7+9),2),"пн","вт","ср","чт","пт","сб","вс"))</f>
        <v/>
      </c>
      <c r="B68" s="37">
        <f>IF(($K$7+9)&gt;$L$7,"",SUMIFS('Данные'!$C:$C,'Данные'!$A:$A,"&gt;="&amp;($K$7+9),'Данные'!$A:$A,"&lt;"&amp;($K$7+9)+1,'Данные'!$B:$B,$B$3))</f>
        <v/>
      </c>
      <c r="C68" s="37">
        <f>IF(($K$7+9)&gt;$L$7,"",B68*(100+22)/100)</f>
        <v/>
      </c>
      <c r="D68" s="38">
        <f>IF(($K$7+9)&gt;$L$7,"",SUMIFS('Данные'!$D:$D,'Данные'!$A:$A,"&gt;="&amp;($K$7+9),'Данные'!$A:$A,"&lt;"&amp;($K$7+9)+1,'Данные'!$B:$B,$B$3))</f>
        <v/>
      </c>
      <c r="E68" s="38">
        <f>IF(($K$7+9)&gt;$L$7,"",SUMIFS('Данные'!$E:$E,'Данные'!$A:$A,"&gt;="&amp;($K$7+9),'Данные'!$A:$A,"&lt;"&amp;($K$7+9)+1,'Данные'!$B:$B,$B$3))</f>
        <v/>
      </c>
      <c r="F68" s="39">
        <f>IF(($K$7+9)&gt;$L$7,"",IFERROR(E68/D68,""))</f>
        <v/>
      </c>
      <c r="G68" s="40">
        <f>IF(($K$7+9)&gt;$L$7,"",IFERROR(B68/E68,""))</f>
        <v/>
      </c>
      <c r="H68" s="38">
        <f>IF(($K$7+9)&gt;$L$7,"",SUMIFS('Данные'!$F:$F,'Данные'!$A:$A,"&gt;="&amp;($K$7+9),'Данные'!$A:$A,"&lt;"&amp;($K$7+9)+1,'Данные'!$B:$B,$B$3))</f>
        <v/>
      </c>
      <c r="I68" s="40">
        <f>IF(($K$7+9)&gt;$L$7,"",IFERROR(B68/H68,""))</f>
        <v/>
      </c>
      <c r="J68" s="41">
        <f>IF(($K$7+9)&gt;$L$7,"",IFERROR(H68/E68,""))</f>
        <v/>
      </c>
    </row>
    <row r="69">
      <c r="A69" s="29">
        <f>IF(($K$7+10)&gt;$L$7,"",TEXT(($K$7+10),"DD.MM")&amp;" "&amp;CHOOSE(WEEKDAY(($K$7+10),2),"пн","вт","ср","чт","пт","сб","вс"))</f>
        <v/>
      </c>
      <c r="B69" s="30">
        <f>IF(($K$7+10)&gt;$L$7,"",SUMIFS('Данные'!$C:$C,'Данные'!$A:$A,"&gt;="&amp;($K$7+10),'Данные'!$A:$A,"&lt;"&amp;($K$7+10)+1,'Данные'!$B:$B,$B$3))</f>
        <v/>
      </c>
      <c r="C69" s="30">
        <f>IF(($K$7+10)&gt;$L$7,"",B69*(100+22)/100)</f>
        <v/>
      </c>
      <c r="D69" s="31">
        <f>IF(($K$7+10)&gt;$L$7,"",SUMIFS('Данные'!$D:$D,'Данные'!$A:$A,"&gt;="&amp;($K$7+10),'Данные'!$A:$A,"&lt;"&amp;($K$7+10)+1,'Данные'!$B:$B,$B$3))</f>
        <v/>
      </c>
      <c r="E69" s="31">
        <f>IF(($K$7+10)&gt;$L$7,"",SUMIFS('Данные'!$E:$E,'Данные'!$A:$A,"&gt;="&amp;($K$7+10),'Данные'!$A:$A,"&lt;"&amp;($K$7+10)+1,'Данные'!$B:$B,$B$3))</f>
        <v/>
      </c>
      <c r="F69" s="32">
        <f>IF(($K$7+10)&gt;$L$7,"",IFERROR(E69/D69,""))</f>
        <v/>
      </c>
      <c r="G69" s="33">
        <f>IF(($K$7+10)&gt;$L$7,"",IFERROR(B69/E69,""))</f>
        <v/>
      </c>
      <c r="H69" s="31">
        <f>IF(($K$7+10)&gt;$L$7,"",SUMIFS('Данные'!$F:$F,'Данные'!$A:$A,"&gt;="&amp;($K$7+10),'Данные'!$A:$A,"&lt;"&amp;($K$7+10)+1,'Данные'!$B:$B,$B$3))</f>
        <v/>
      </c>
      <c r="I69" s="33">
        <f>IF(($K$7+10)&gt;$L$7,"",IFERROR(B69/H69,""))</f>
        <v/>
      </c>
      <c r="J69" s="34">
        <f>IF(($K$7+10)&gt;$L$7,"",IFERROR(H69/E69,""))</f>
        <v/>
      </c>
    </row>
    <row r="70">
      <c r="A70" s="36">
        <f>IF(($K$7+11)&gt;$L$7,"",TEXT(($K$7+11),"DD.MM")&amp;" "&amp;CHOOSE(WEEKDAY(($K$7+11),2),"пн","вт","ср","чт","пт","сб","вс"))</f>
        <v/>
      </c>
      <c r="B70" s="37">
        <f>IF(($K$7+11)&gt;$L$7,"",SUMIFS('Данные'!$C:$C,'Данные'!$A:$A,"&gt;="&amp;($K$7+11),'Данные'!$A:$A,"&lt;"&amp;($K$7+11)+1,'Данные'!$B:$B,$B$3))</f>
        <v/>
      </c>
      <c r="C70" s="37">
        <f>IF(($K$7+11)&gt;$L$7,"",B70*(100+22)/100)</f>
        <v/>
      </c>
      <c r="D70" s="38">
        <f>IF(($K$7+11)&gt;$L$7,"",SUMIFS('Данные'!$D:$D,'Данные'!$A:$A,"&gt;="&amp;($K$7+11),'Данные'!$A:$A,"&lt;"&amp;($K$7+11)+1,'Данные'!$B:$B,$B$3))</f>
        <v/>
      </c>
      <c r="E70" s="38">
        <f>IF(($K$7+11)&gt;$L$7,"",SUMIFS('Данные'!$E:$E,'Данные'!$A:$A,"&gt;="&amp;($K$7+11),'Данные'!$A:$A,"&lt;"&amp;($K$7+11)+1,'Данные'!$B:$B,$B$3))</f>
        <v/>
      </c>
      <c r="F70" s="39">
        <f>IF(($K$7+11)&gt;$L$7,"",IFERROR(E70/D70,""))</f>
        <v/>
      </c>
      <c r="G70" s="40">
        <f>IF(($K$7+11)&gt;$L$7,"",IFERROR(B70/E70,""))</f>
        <v/>
      </c>
      <c r="H70" s="38">
        <f>IF(($K$7+11)&gt;$L$7,"",SUMIFS('Данные'!$F:$F,'Данные'!$A:$A,"&gt;="&amp;($K$7+11),'Данные'!$A:$A,"&lt;"&amp;($K$7+11)+1,'Данные'!$B:$B,$B$3))</f>
        <v/>
      </c>
      <c r="I70" s="40">
        <f>IF(($K$7+11)&gt;$L$7,"",IFERROR(B70/H70,""))</f>
        <v/>
      </c>
      <c r="J70" s="41">
        <f>IF(($K$7+11)&gt;$L$7,"",IFERROR(H70/E70,""))</f>
        <v/>
      </c>
    </row>
    <row r="71">
      <c r="A71" s="29">
        <f>IF(($K$7+12)&gt;$L$7,"",TEXT(($K$7+12),"DD.MM")&amp;" "&amp;CHOOSE(WEEKDAY(($K$7+12),2),"пн","вт","ср","чт","пт","сб","вс"))</f>
        <v/>
      </c>
      <c r="B71" s="30">
        <f>IF(($K$7+12)&gt;$L$7,"",SUMIFS('Данные'!$C:$C,'Данные'!$A:$A,"&gt;="&amp;($K$7+12),'Данные'!$A:$A,"&lt;"&amp;($K$7+12)+1,'Данные'!$B:$B,$B$3))</f>
        <v/>
      </c>
      <c r="C71" s="30">
        <f>IF(($K$7+12)&gt;$L$7,"",B71*(100+22)/100)</f>
        <v/>
      </c>
      <c r="D71" s="31">
        <f>IF(($K$7+12)&gt;$L$7,"",SUMIFS('Данные'!$D:$D,'Данные'!$A:$A,"&gt;="&amp;($K$7+12),'Данные'!$A:$A,"&lt;"&amp;($K$7+12)+1,'Данные'!$B:$B,$B$3))</f>
        <v/>
      </c>
      <c r="E71" s="31">
        <f>IF(($K$7+12)&gt;$L$7,"",SUMIFS('Данные'!$E:$E,'Данные'!$A:$A,"&gt;="&amp;($K$7+12),'Данные'!$A:$A,"&lt;"&amp;($K$7+12)+1,'Данные'!$B:$B,$B$3))</f>
        <v/>
      </c>
      <c r="F71" s="32">
        <f>IF(($K$7+12)&gt;$L$7,"",IFERROR(E71/D71,""))</f>
        <v/>
      </c>
      <c r="G71" s="33">
        <f>IF(($K$7+12)&gt;$L$7,"",IFERROR(B71/E71,""))</f>
        <v/>
      </c>
      <c r="H71" s="31">
        <f>IF(($K$7+12)&gt;$L$7,"",SUMIFS('Данные'!$F:$F,'Данные'!$A:$A,"&gt;="&amp;($K$7+12),'Данные'!$A:$A,"&lt;"&amp;($K$7+12)+1,'Данные'!$B:$B,$B$3))</f>
        <v/>
      </c>
      <c r="I71" s="33">
        <f>IF(($K$7+12)&gt;$L$7,"",IFERROR(B71/H71,""))</f>
        <v/>
      </c>
      <c r="J71" s="34">
        <f>IF(($K$7+12)&gt;$L$7,"",IFERROR(H71/E71,""))</f>
        <v/>
      </c>
    </row>
    <row r="72">
      <c r="A72" s="36">
        <f>IF(($K$7+13)&gt;$L$7,"",TEXT(($K$7+13),"DD.MM")&amp;" "&amp;CHOOSE(WEEKDAY(($K$7+13),2),"пн","вт","ср","чт","пт","сб","вс"))</f>
        <v/>
      </c>
      <c r="B72" s="37">
        <f>IF(($K$7+13)&gt;$L$7,"",SUMIFS('Данные'!$C:$C,'Данные'!$A:$A,"&gt;="&amp;($K$7+13),'Данные'!$A:$A,"&lt;"&amp;($K$7+13)+1,'Данные'!$B:$B,$B$3))</f>
        <v/>
      </c>
      <c r="C72" s="37">
        <f>IF(($K$7+13)&gt;$L$7,"",B72*(100+22)/100)</f>
        <v/>
      </c>
      <c r="D72" s="38">
        <f>IF(($K$7+13)&gt;$L$7,"",SUMIFS('Данные'!$D:$D,'Данные'!$A:$A,"&gt;="&amp;($K$7+13),'Данные'!$A:$A,"&lt;"&amp;($K$7+13)+1,'Данные'!$B:$B,$B$3))</f>
        <v/>
      </c>
      <c r="E72" s="38">
        <f>IF(($K$7+13)&gt;$L$7,"",SUMIFS('Данные'!$E:$E,'Данные'!$A:$A,"&gt;="&amp;($K$7+13),'Данные'!$A:$A,"&lt;"&amp;($K$7+13)+1,'Данные'!$B:$B,$B$3))</f>
        <v/>
      </c>
      <c r="F72" s="39">
        <f>IF(($K$7+13)&gt;$L$7,"",IFERROR(E72/D72,""))</f>
        <v/>
      </c>
      <c r="G72" s="40">
        <f>IF(($K$7+13)&gt;$L$7,"",IFERROR(B72/E72,""))</f>
        <v/>
      </c>
      <c r="H72" s="38">
        <f>IF(($K$7+13)&gt;$L$7,"",SUMIFS('Данные'!$F:$F,'Данные'!$A:$A,"&gt;="&amp;($K$7+13),'Данные'!$A:$A,"&lt;"&amp;($K$7+13)+1,'Данные'!$B:$B,$B$3))</f>
        <v/>
      </c>
      <c r="I72" s="40">
        <f>IF(($K$7+13)&gt;$L$7,"",IFERROR(B72/H72,""))</f>
        <v/>
      </c>
      <c r="J72" s="41">
        <f>IF(($K$7+13)&gt;$L$7,"",IFERROR(H72/E72,""))</f>
        <v/>
      </c>
    </row>
    <row r="73">
      <c r="A73" s="29">
        <f>IF(($K$7+14)&gt;$L$7,"",TEXT(($K$7+14),"DD.MM")&amp;" "&amp;CHOOSE(WEEKDAY(($K$7+14),2),"пн","вт","ср","чт","пт","сб","вс"))</f>
        <v/>
      </c>
      <c r="B73" s="30">
        <f>IF(($K$7+14)&gt;$L$7,"",SUMIFS('Данные'!$C:$C,'Данные'!$A:$A,"&gt;="&amp;($K$7+14),'Данные'!$A:$A,"&lt;"&amp;($K$7+14)+1,'Данные'!$B:$B,$B$3))</f>
        <v/>
      </c>
      <c r="C73" s="30">
        <f>IF(($K$7+14)&gt;$L$7,"",B73*(100+22)/100)</f>
        <v/>
      </c>
      <c r="D73" s="31">
        <f>IF(($K$7+14)&gt;$L$7,"",SUMIFS('Данные'!$D:$D,'Данные'!$A:$A,"&gt;="&amp;($K$7+14),'Данные'!$A:$A,"&lt;"&amp;($K$7+14)+1,'Данные'!$B:$B,$B$3))</f>
        <v/>
      </c>
      <c r="E73" s="31">
        <f>IF(($K$7+14)&gt;$L$7,"",SUMIFS('Данные'!$E:$E,'Данные'!$A:$A,"&gt;="&amp;($K$7+14),'Данные'!$A:$A,"&lt;"&amp;($K$7+14)+1,'Данные'!$B:$B,$B$3))</f>
        <v/>
      </c>
      <c r="F73" s="32">
        <f>IF(($K$7+14)&gt;$L$7,"",IFERROR(E73/D73,""))</f>
        <v/>
      </c>
      <c r="G73" s="33">
        <f>IF(($K$7+14)&gt;$L$7,"",IFERROR(B73/E73,""))</f>
        <v/>
      </c>
      <c r="H73" s="31">
        <f>IF(($K$7+14)&gt;$L$7,"",SUMIFS('Данные'!$F:$F,'Данные'!$A:$A,"&gt;="&amp;($K$7+14),'Данные'!$A:$A,"&lt;"&amp;($K$7+14)+1,'Данные'!$B:$B,$B$3))</f>
        <v/>
      </c>
      <c r="I73" s="33">
        <f>IF(($K$7+14)&gt;$L$7,"",IFERROR(B73/H73,""))</f>
        <v/>
      </c>
      <c r="J73" s="34">
        <f>IF(($K$7+14)&gt;$L$7,"",IFERROR(H73/E73,""))</f>
        <v/>
      </c>
    </row>
    <row r="74">
      <c r="A74" s="36">
        <f>IF(($K$7+15)&gt;$L$7,"",TEXT(($K$7+15),"DD.MM")&amp;" "&amp;CHOOSE(WEEKDAY(($K$7+15),2),"пн","вт","ср","чт","пт","сб","вс"))</f>
        <v/>
      </c>
      <c r="B74" s="37">
        <f>IF(($K$7+15)&gt;$L$7,"",SUMIFS('Данные'!$C:$C,'Данные'!$A:$A,"&gt;="&amp;($K$7+15),'Данные'!$A:$A,"&lt;"&amp;($K$7+15)+1,'Данные'!$B:$B,$B$3))</f>
        <v/>
      </c>
      <c r="C74" s="37">
        <f>IF(($K$7+15)&gt;$L$7,"",B74*(100+22)/100)</f>
        <v/>
      </c>
      <c r="D74" s="38">
        <f>IF(($K$7+15)&gt;$L$7,"",SUMIFS('Данные'!$D:$D,'Данные'!$A:$A,"&gt;="&amp;($K$7+15),'Данные'!$A:$A,"&lt;"&amp;($K$7+15)+1,'Данные'!$B:$B,$B$3))</f>
        <v/>
      </c>
      <c r="E74" s="38">
        <f>IF(($K$7+15)&gt;$L$7,"",SUMIFS('Данные'!$E:$E,'Данные'!$A:$A,"&gt;="&amp;($K$7+15),'Данные'!$A:$A,"&lt;"&amp;($K$7+15)+1,'Данные'!$B:$B,$B$3))</f>
        <v/>
      </c>
      <c r="F74" s="39">
        <f>IF(($K$7+15)&gt;$L$7,"",IFERROR(E74/D74,""))</f>
        <v/>
      </c>
      <c r="G74" s="40">
        <f>IF(($K$7+15)&gt;$L$7,"",IFERROR(B74/E74,""))</f>
        <v/>
      </c>
      <c r="H74" s="38">
        <f>IF(($K$7+15)&gt;$L$7,"",SUMIFS('Данные'!$F:$F,'Данные'!$A:$A,"&gt;="&amp;($K$7+15),'Данные'!$A:$A,"&lt;"&amp;($K$7+15)+1,'Данные'!$B:$B,$B$3))</f>
        <v/>
      </c>
      <c r="I74" s="40">
        <f>IF(($K$7+15)&gt;$L$7,"",IFERROR(B74/H74,""))</f>
        <v/>
      </c>
      <c r="J74" s="41">
        <f>IF(($K$7+15)&gt;$L$7,"",IFERROR(H74/E74,""))</f>
        <v/>
      </c>
    </row>
    <row r="75">
      <c r="A75" s="29">
        <f>IF(($K$7+16)&gt;$L$7,"",TEXT(($K$7+16),"DD.MM")&amp;" "&amp;CHOOSE(WEEKDAY(($K$7+16),2),"пн","вт","ср","чт","пт","сб","вс"))</f>
        <v/>
      </c>
      <c r="B75" s="30">
        <f>IF(($K$7+16)&gt;$L$7,"",SUMIFS('Данные'!$C:$C,'Данные'!$A:$A,"&gt;="&amp;($K$7+16),'Данные'!$A:$A,"&lt;"&amp;($K$7+16)+1,'Данные'!$B:$B,$B$3))</f>
        <v/>
      </c>
      <c r="C75" s="30">
        <f>IF(($K$7+16)&gt;$L$7,"",B75*(100+22)/100)</f>
        <v/>
      </c>
      <c r="D75" s="31">
        <f>IF(($K$7+16)&gt;$L$7,"",SUMIFS('Данные'!$D:$D,'Данные'!$A:$A,"&gt;="&amp;($K$7+16),'Данные'!$A:$A,"&lt;"&amp;($K$7+16)+1,'Данные'!$B:$B,$B$3))</f>
        <v/>
      </c>
      <c r="E75" s="31">
        <f>IF(($K$7+16)&gt;$L$7,"",SUMIFS('Данные'!$E:$E,'Данные'!$A:$A,"&gt;="&amp;($K$7+16),'Данные'!$A:$A,"&lt;"&amp;($K$7+16)+1,'Данные'!$B:$B,$B$3))</f>
        <v/>
      </c>
      <c r="F75" s="32">
        <f>IF(($K$7+16)&gt;$L$7,"",IFERROR(E75/D75,""))</f>
        <v/>
      </c>
      <c r="G75" s="33">
        <f>IF(($K$7+16)&gt;$L$7,"",IFERROR(B75/E75,""))</f>
        <v/>
      </c>
      <c r="H75" s="31">
        <f>IF(($K$7+16)&gt;$L$7,"",SUMIFS('Данные'!$F:$F,'Данные'!$A:$A,"&gt;="&amp;($K$7+16),'Данные'!$A:$A,"&lt;"&amp;($K$7+16)+1,'Данные'!$B:$B,$B$3))</f>
        <v/>
      </c>
      <c r="I75" s="33">
        <f>IF(($K$7+16)&gt;$L$7,"",IFERROR(B75/H75,""))</f>
        <v/>
      </c>
      <c r="J75" s="34">
        <f>IF(($K$7+16)&gt;$L$7,"",IFERROR(H75/E75,""))</f>
        <v/>
      </c>
    </row>
    <row r="76">
      <c r="A76" s="36">
        <f>IF(($K$7+17)&gt;$L$7,"",TEXT(($K$7+17),"DD.MM")&amp;" "&amp;CHOOSE(WEEKDAY(($K$7+17),2),"пн","вт","ср","чт","пт","сб","вс"))</f>
        <v/>
      </c>
      <c r="B76" s="37">
        <f>IF(($K$7+17)&gt;$L$7,"",SUMIFS('Данные'!$C:$C,'Данные'!$A:$A,"&gt;="&amp;($K$7+17),'Данные'!$A:$A,"&lt;"&amp;($K$7+17)+1,'Данные'!$B:$B,$B$3))</f>
        <v/>
      </c>
      <c r="C76" s="37">
        <f>IF(($K$7+17)&gt;$L$7,"",B76*(100+22)/100)</f>
        <v/>
      </c>
      <c r="D76" s="38">
        <f>IF(($K$7+17)&gt;$L$7,"",SUMIFS('Данные'!$D:$D,'Данные'!$A:$A,"&gt;="&amp;($K$7+17),'Данные'!$A:$A,"&lt;"&amp;($K$7+17)+1,'Данные'!$B:$B,$B$3))</f>
        <v/>
      </c>
      <c r="E76" s="38">
        <f>IF(($K$7+17)&gt;$L$7,"",SUMIFS('Данные'!$E:$E,'Данные'!$A:$A,"&gt;="&amp;($K$7+17),'Данные'!$A:$A,"&lt;"&amp;($K$7+17)+1,'Данные'!$B:$B,$B$3))</f>
        <v/>
      </c>
      <c r="F76" s="39">
        <f>IF(($K$7+17)&gt;$L$7,"",IFERROR(E76/D76,""))</f>
        <v/>
      </c>
      <c r="G76" s="40">
        <f>IF(($K$7+17)&gt;$L$7,"",IFERROR(B76/E76,""))</f>
        <v/>
      </c>
      <c r="H76" s="38">
        <f>IF(($K$7+17)&gt;$L$7,"",SUMIFS('Данные'!$F:$F,'Данные'!$A:$A,"&gt;="&amp;($K$7+17),'Данные'!$A:$A,"&lt;"&amp;($K$7+17)+1,'Данные'!$B:$B,$B$3))</f>
        <v/>
      </c>
      <c r="I76" s="40">
        <f>IF(($K$7+17)&gt;$L$7,"",IFERROR(B76/H76,""))</f>
        <v/>
      </c>
      <c r="J76" s="41">
        <f>IF(($K$7+17)&gt;$L$7,"",IFERROR(H76/E76,""))</f>
        <v/>
      </c>
    </row>
    <row r="77">
      <c r="A77" s="29">
        <f>IF(($K$7+18)&gt;$L$7,"",TEXT(($K$7+18),"DD.MM")&amp;" "&amp;CHOOSE(WEEKDAY(($K$7+18),2),"пн","вт","ср","чт","пт","сб","вс"))</f>
        <v/>
      </c>
      <c r="B77" s="30">
        <f>IF(($K$7+18)&gt;$L$7,"",SUMIFS('Данные'!$C:$C,'Данные'!$A:$A,"&gt;="&amp;($K$7+18),'Данные'!$A:$A,"&lt;"&amp;($K$7+18)+1,'Данные'!$B:$B,$B$3))</f>
        <v/>
      </c>
      <c r="C77" s="30">
        <f>IF(($K$7+18)&gt;$L$7,"",B77*(100+22)/100)</f>
        <v/>
      </c>
      <c r="D77" s="31">
        <f>IF(($K$7+18)&gt;$L$7,"",SUMIFS('Данные'!$D:$D,'Данные'!$A:$A,"&gt;="&amp;($K$7+18),'Данные'!$A:$A,"&lt;"&amp;($K$7+18)+1,'Данные'!$B:$B,$B$3))</f>
        <v/>
      </c>
      <c r="E77" s="31">
        <f>IF(($K$7+18)&gt;$L$7,"",SUMIFS('Данные'!$E:$E,'Данные'!$A:$A,"&gt;="&amp;($K$7+18),'Данные'!$A:$A,"&lt;"&amp;($K$7+18)+1,'Данные'!$B:$B,$B$3))</f>
        <v/>
      </c>
      <c r="F77" s="32">
        <f>IF(($K$7+18)&gt;$L$7,"",IFERROR(E77/D77,""))</f>
        <v/>
      </c>
      <c r="G77" s="33">
        <f>IF(($K$7+18)&gt;$L$7,"",IFERROR(B77/E77,""))</f>
        <v/>
      </c>
      <c r="H77" s="31">
        <f>IF(($K$7+18)&gt;$L$7,"",SUMIFS('Данные'!$F:$F,'Данные'!$A:$A,"&gt;="&amp;($K$7+18),'Данные'!$A:$A,"&lt;"&amp;($K$7+18)+1,'Данные'!$B:$B,$B$3))</f>
        <v/>
      </c>
      <c r="I77" s="33">
        <f>IF(($K$7+18)&gt;$L$7,"",IFERROR(B77/H77,""))</f>
        <v/>
      </c>
      <c r="J77" s="34">
        <f>IF(($K$7+18)&gt;$L$7,"",IFERROR(H77/E77,""))</f>
        <v/>
      </c>
    </row>
    <row r="78">
      <c r="A78" s="36">
        <f>IF(($K$7+19)&gt;$L$7,"",TEXT(($K$7+19),"DD.MM")&amp;" "&amp;CHOOSE(WEEKDAY(($K$7+19),2),"пн","вт","ср","чт","пт","сб","вс"))</f>
        <v/>
      </c>
      <c r="B78" s="37">
        <f>IF(($K$7+19)&gt;$L$7,"",SUMIFS('Данные'!$C:$C,'Данные'!$A:$A,"&gt;="&amp;($K$7+19),'Данные'!$A:$A,"&lt;"&amp;($K$7+19)+1,'Данные'!$B:$B,$B$3))</f>
        <v/>
      </c>
      <c r="C78" s="37">
        <f>IF(($K$7+19)&gt;$L$7,"",B78*(100+22)/100)</f>
        <v/>
      </c>
      <c r="D78" s="38">
        <f>IF(($K$7+19)&gt;$L$7,"",SUMIFS('Данные'!$D:$D,'Данные'!$A:$A,"&gt;="&amp;($K$7+19),'Данные'!$A:$A,"&lt;"&amp;($K$7+19)+1,'Данные'!$B:$B,$B$3))</f>
        <v/>
      </c>
      <c r="E78" s="38">
        <f>IF(($K$7+19)&gt;$L$7,"",SUMIFS('Данные'!$E:$E,'Данные'!$A:$A,"&gt;="&amp;($K$7+19),'Данные'!$A:$A,"&lt;"&amp;($K$7+19)+1,'Данные'!$B:$B,$B$3))</f>
        <v/>
      </c>
      <c r="F78" s="39">
        <f>IF(($K$7+19)&gt;$L$7,"",IFERROR(E78/D78,""))</f>
        <v/>
      </c>
      <c r="G78" s="40">
        <f>IF(($K$7+19)&gt;$L$7,"",IFERROR(B78/E78,""))</f>
        <v/>
      </c>
      <c r="H78" s="38">
        <f>IF(($K$7+19)&gt;$L$7,"",SUMIFS('Данные'!$F:$F,'Данные'!$A:$A,"&gt;="&amp;($K$7+19),'Данные'!$A:$A,"&lt;"&amp;($K$7+19)+1,'Данные'!$B:$B,$B$3))</f>
        <v/>
      </c>
      <c r="I78" s="40">
        <f>IF(($K$7+19)&gt;$L$7,"",IFERROR(B78/H78,""))</f>
        <v/>
      </c>
      <c r="J78" s="41">
        <f>IF(($K$7+19)&gt;$L$7,"",IFERROR(H78/E78,""))</f>
        <v/>
      </c>
    </row>
    <row r="79">
      <c r="A79" s="29">
        <f>IF(($K$7+20)&gt;$L$7,"",TEXT(($K$7+20),"DD.MM")&amp;" "&amp;CHOOSE(WEEKDAY(($K$7+20),2),"пн","вт","ср","чт","пт","сб","вс"))</f>
        <v/>
      </c>
      <c r="B79" s="30">
        <f>IF(($K$7+20)&gt;$L$7,"",SUMIFS('Данные'!$C:$C,'Данные'!$A:$A,"&gt;="&amp;($K$7+20),'Данные'!$A:$A,"&lt;"&amp;($K$7+20)+1,'Данные'!$B:$B,$B$3))</f>
        <v/>
      </c>
      <c r="C79" s="30">
        <f>IF(($K$7+20)&gt;$L$7,"",B79*(100+22)/100)</f>
        <v/>
      </c>
      <c r="D79" s="31">
        <f>IF(($K$7+20)&gt;$L$7,"",SUMIFS('Данные'!$D:$D,'Данные'!$A:$A,"&gt;="&amp;($K$7+20),'Данные'!$A:$A,"&lt;"&amp;($K$7+20)+1,'Данные'!$B:$B,$B$3))</f>
        <v/>
      </c>
      <c r="E79" s="31">
        <f>IF(($K$7+20)&gt;$L$7,"",SUMIFS('Данные'!$E:$E,'Данные'!$A:$A,"&gt;="&amp;($K$7+20),'Данные'!$A:$A,"&lt;"&amp;($K$7+20)+1,'Данные'!$B:$B,$B$3))</f>
        <v/>
      </c>
      <c r="F79" s="32">
        <f>IF(($K$7+20)&gt;$L$7,"",IFERROR(E79/D79,""))</f>
        <v/>
      </c>
      <c r="G79" s="33">
        <f>IF(($K$7+20)&gt;$L$7,"",IFERROR(B79/E79,""))</f>
        <v/>
      </c>
      <c r="H79" s="31">
        <f>IF(($K$7+20)&gt;$L$7,"",SUMIFS('Данные'!$F:$F,'Данные'!$A:$A,"&gt;="&amp;($K$7+20),'Данные'!$A:$A,"&lt;"&amp;($K$7+20)+1,'Данные'!$B:$B,$B$3))</f>
        <v/>
      </c>
      <c r="I79" s="33">
        <f>IF(($K$7+20)&gt;$L$7,"",IFERROR(B79/H79,""))</f>
        <v/>
      </c>
      <c r="J79" s="34">
        <f>IF(($K$7+20)&gt;$L$7,"",IFERROR(H79/E79,""))</f>
        <v/>
      </c>
    </row>
    <row r="80">
      <c r="A80" s="36">
        <f>IF(($K$7+21)&gt;$L$7,"",TEXT(($K$7+21),"DD.MM")&amp;" "&amp;CHOOSE(WEEKDAY(($K$7+21),2),"пн","вт","ср","чт","пт","сб","вс"))</f>
        <v/>
      </c>
      <c r="B80" s="37">
        <f>IF(($K$7+21)&gt;$L$7,"",SUMIFS('Данные'!$C:$C,'Данные'!$A:$A,"&gt;="&amp;($K$7+21),'Данные'!$A:$A,"&lt;"&amp;($K$7+21)+1,'Данные'!$B:$B,$B$3))</f>
        <v/>
      </c>
      <c r="C80" s="37">
        <f>IF(($K$7+21)&gt;$L$7,"",B80*(100+22)/100)</f>
        <v/>
      </c>
      <c r="D80" s="38">
        <f>IF(($K$7+21)&gt;$L$7,"",SUMIFS('Данные'!$D:$D,'Данные'!$A:$A,"&gt;="&amp;($K$7+21),'Данные'!$A:$A,"&lt;"&amp;($K$7+21)+1,'Данные'!$B:$B,$B$3))</f>
        <v/>
      </c>
      <c r="E80" s="38">
        <f>IF(($K$7+21)&gt;$L$7,"",SUMIFS('Данные'!$E:$E,'Данные'!$A:$A,"&gt;="&amp;($K$7+21),'Данные'!$A:$A,"&lt;"&amp;($K$7+21)+1,'Данные'!$B:$B,$B$3))</f>
        <v/>
      </c>
      <c r="F80" s="39">
        <f>IF(($K$7+21)&gt;$L$7,"",IFERROR(E80/D80,""))</f>
        <v/>
      </c>
      <c r="G80" s="40">
        <f>IF(($K$7+21)&gt;$L$7,"",IFERROR(B80/E80,""))</f>
        <v/>
      </c>
      <c r="H80" s="38">
        <f>IF(($K$7+21)&gt;$L$7,"",SUMIFS('Данные'!$F:$F,'Данные'!$A:$A,"&gt;="&amp;($K$7+21),'Данные'!$A:$A,"&lt;"&amp;($K$7+21)+1,'Данные'!$B:$B,$B$3))</f>
        <v/>
      </c>
      <c r="I80" s="40">
        <f>IF(($K$7+21)&gt;$L$7,"",IFERROR(B80/H80,""))</f>
        <v/>
      </c>
      <c r="J80" s="41">
        <f>IF(($K$7+21)&gt;$L$7,"",IFERROR(H80/E80,""))</f>
        <v/>
      </c>
    </row>
    <row r="81">
      <c r="A81" s="29">
        <f>IF(($K$7+22)&gt;$L$7,"",TEXT(($K$7+22),"DD.MM")&amp;" "&amp;CHOOSE(WEEKDAY(($K$7+22),2),"пн","вт","ср","чт","пт","сб","вс"))</f>
        <v/>
      </c>
      <c r="B81" s="30">
        <f>IF(($K$7+22)&gt;$L$7,"",SUMIFS('Данные'!$C:$C,'Данные'!$A:$A,"&gt;="&amp;($K$7+22),'Данные'!$A:$A,"&lt;"&amp;($K$7+22)+1,'Данные'!$B:$B,$B$3))</f>
        <v/>
      </c>
      <c r="C81" s="30">
        <f>IF(($K$7+22)&gt;$L$7,"",B81*(100+22)/100)</f>
        <v/>
      </c>
      <c r="D81" s="31">
        <f>IF(($K$7+22)&gt;$L$7,"",SUMIFS('Данные'!$D:$D,'Данные'!$A:$A,"&gt;="&amp;($K$7+22),'Данные'!$A:$A,"&lt;"&amp;($K$7+22)+1,'Данные'!$B:$B,$B$3))</f>
        <v/>
      </c>
      <c r="E81" s="31">
        <f>IF(($K$7+22)&gt;$L$7,"",SUMIFS('Данные'!$E:$E,'Данные'!$A:$A,"&gt;="&amp;($K$7+22),'Данные'!$A:$A,"&lt;"&amp;($K$7+22)+1,'Данные'!$B:$B,$B$3))</f>
        <v/>
      </c>
      <c r="F81" s="32">
        <f>IF(($K$7+22)&gt;$L$7,"",IFERROR(E81/D81,""))</f>
        <v/>
      </c>
      <c r="G81" s="33">
        <f>IF(($K$7+22)&gt;$L$7,"",IFERROR(B81/E81,""))</f>
        <v/>
      </c>
      <c r="H81" s="31">
        <f>IF(($K$7+22)&gt;$L$7,"",SUMIFS('Данные'!$F:$F,'Данные'!$A:$A,"&gt;="&amp;($K$7+22),'Данные'!$A:$A,"&lt;"&amp;($K$7+22)+1,'Данные'!$B:$B,$B$3))</f>
        <v/>
      </c>
      <c r="I81" s="33">
        <f>IF(($K$7+22)&gt;$L$7,"",IFERROR(B81/H81,""))</f>
        <v/>
      </c>
      <c r="J81" s="34">
        <f>IF(($K$7+22)&gt;$L$7,"",IFERROR(H81/E81,""))</f>
        <v/>
      </c>
    </row>
    <row r="82">
      <c r="A82" s="36">
        <f>IF(($K$7+23)&gt;$L$7,"",TEXT(($K$7+23),"DD.MM")&amp;" "&amp;CHOOSE(WEEKDAY(($K$7+23),2),"пн","вт","ср","чт","пт","сб","вс"))</f>
        <v/>
      </c>
      <c r="B82" s="37">
        <f>IF(($K$7+23)&gt;$L$7,"",SUMIFS('Данные'!$C:$C,'Данные'!$A:$A,"&gt;="&amp;($K$7+23),'Данные'!$A:$A,"&lt;"&amp;($K$7+23)+1,'Данные'!$B:$B,$B$3))</f>
        <v/>
      </c>
      <c r="C82" s="37">
        <f>IF(($K$7+23)&gt;$L$7,"",B82*(100+22)/100)</f>
        <v/>
      </c>
      <c r="D82" s="38">
        <f>IF(($K$7+23)&gt;$L$7,"",SUMIFS('Данные'!$D:$D,'Данные'!$A:$A,"&gt;="&amp;($K$7+23),'Данные'!$A:$A,"&lt;"&amp;($K$7+23)+1,'Данные'!$B:$B,$B$3))</f>
        <v/>
      </c>
      <c r="E82" s="38">
        <f>IF(($K$7+23)&gt;$L$7,"",SUMIFS('Данные'!$E:$E,'Данные'!$A:$A,"&gt;="&amp;($K$7+23),'Данные'!$A:$A,"&lt;"&amp;($K$7+23)+1,'Данные'!$B:$B,$B$3))</f>
        <v/>
      </c>
      <c r="F82" s="39">
        <f>IF(($K$7+23)&gt;$L$7,"",IFERROR(E82/D82,""))</f>
        <v/>
      </c>
      <c r="G82" s="40">
        <f>IF(($K$7+23)&gt;$L$7,"",IFERROR(B82/E82,""))</f>
        <v/>
      </c>
      <c r="H82" s="38">
        <f>IF(($K$7+23)&gt;$L$7,"",SUMIFS('Данные'!$F:$F,'Данные'!$A:$A,"&gt;="&amp;($K$7+23),'Данные'!$A:$A,"&lt;"&amp;($K$7+23)+1,'Данные'!$B:$B,$B$3))</f>
        <v/>
      </c>
      <c r="I82" s="40">
        <f>IF(($K$7+23)&gt;$L$7,"",IFERROR(B82/H82,""))</f>
        <v/>
      </c>
      <c r="J82" s="41">
        <f>IF(($K$7+23)&gt;$L$7,"",IFERROR(H82/E82,""))</f>
        <v/>
      </c>
    </row>
    <row r="83">
      <c r="A83" s="29">
        <f>IF(($K$7+24)&gt;$L$7,"",TEXT(($K$7+24),"DD.MM")&amp;" "&amp;CHOOSE(WEEKDAY(($K$7+24),2),"пн","вт","ср","чт","пт","сб","вс"))</f>
        <v/>
      </c>
      <c r="B83" s="30">
        <f>IF(($K$7+24)&gt;$L$7,"",SUMIFS('Данные'!$C:$C,'Данные'!$A:$A,"&gt;="&amp;($K$7+24),'Данные'!$A:$A,"&lt;"&amp;($K$7+24)+1,'Данные'!$B:$B,$B$3))</f>
        <v/>
      </c>
      <c r="C83" s="30">
        <f>IF(($K$7+24)&gt;$L$7,"",B83*(100+22)/100)</f>
        <v/>
      </c>
      <c r="D83" s="31">
        <f>IF(($K$7+24)&gt;$L$7,"",SUMIFS('Данные'!$D:$D,'Данные'!$A:$A,"&gt;="&amp;($K$7+24),'Данные'!$A:$A,"&lt;"&amp;($K$7+24)+1,'Данные'!$B:$B,$B$3))</f>
        <v/>
      </c>
      <c r="E83" s="31">
        <f>IF(($K$7+24)&gt;$L$7,"",SUMIFS('Данные'!$E:$E,'Данные'!$A:$A,"&gt;="&amp;($K$7+24),'Данные'!$A:$A,"&lt;"&amp;($K$7+24)+1,'Данные'!$B:$B,$B$3))</f>
        <v/>
      </c>
      <c r="F83" s="32">
        <f>IF(($K$7+24)&gt;$L$7,"",IFERROR(E83/D83,""))</f>
        <v/>
      </c>
      <c r="G83" s="33">
        <f>IF(($K$7+24)&gt;$L$7,"",IFERROR(B83/E83,""))</f>
        <v/>
      </c>
      <c r="H83" s="31">
        <f>IF(($K$7+24)&gt;$L$7,"",SUMIFS('Данные'!$F:$F,'Данные'!$A:$A,"&gt;="&amp;($K$7+24),'Данные'!$A:$A,"&lt;"&amp;($K$7+24)+1,'Данные'!$B:$B,$B$3))</f>
        <v/>
      </c>
      <c r="I83" s="33">
        <f>IF(($K$7+24)&gt;$L$7,"",IFERROR(B83/H83,""))</f>
        <v/>
      </c>
      <c r="J83" s="34">
        <f>IF(($K$7+24)&gt;$L$7,"",IFERROR(H83/E83,""))</f>
        <v/>
      </c>
    </row>
    <row r="84">
      <c r="A84" s="36">
        <f>IF(($K$7+25)&gt;$L$7,"",TEXT(($K$7+25),"DD.MM")&amp;" "&amp;CHOOSE(WEEKDAY(($K$7+25),2),"пн","вт","ср","чт","пт","сб","вс"))</f>
        <v/>
      </c>
      <c r="B84" s="37">
        <f>IF(($K$7+25)&gt;$L$7,"",SUMIFS('Данные'!$C:$C,'Данные'!$A:$A,"&gt;="&amp;($K$7+25),'Данные'!$A:$A,"&lt;"&amp;($K$7+25)+1,'Данные'!$B:$B,$B$3))</f>
        <v/>
      </c>
      <c r="C84" s="37">
        <f>IF(($K$7+25)&gt;$L$7,"",B84*(100+22)/100)</f>
        <v/>
      </c>
      <c r="D84" s="38">
        <f>IF(($K$7+25)&gt;$L$7,"",SUMIFS('Данные'!$D:$D,'Данные'!$A:$A,"&gt;="&amp;($K$7+25),'Данные'!$A:$A,"&lt;"&amp;($K$7+25)+1,'Данные'!$B:$B,$B$3))</f>
        <v/>
      </c>
      <c r="E84" s="38">
        <f>IF(($K$7+25)&gt;$L$7,"",SUMIFS('Данные'!$E:$E,'Данные'!$A:$A,"&gt;="&amp;($K$7+25),'Данные'!$A:$A,"&lt;"&amp;($K$7+25)+1,'Данные'!$B:$B,$B$3))</f>
        <v/>
      </c>
      <c r="F84" s="39">
        <f>IF(($K$7+25)&gt;$L$7,"",IFERROR(E84/D84,""))</f>
        <v/>
      </c>
      <c r="G84" s="40">
        <f>IF(($K$7+25)&gt;$L$7,"",IFERROR(B84/E84,""))</f>
        <v/>
      </c>
      <c r="H84" s="38">
        <f>IF(($K$7+25)&gt;$L$7,"",SUMIFS('Данные'!$F:$F,'Данные'!$A:$A,"&gt;="&amp;($K$7+25),'Данные'!$A:$A,"&lt;"&amp;($K$7+25)+1,'Данные'!$B:$B,$B$3))</f>
        <v/>
      </c>
      <c r="I84" s="40">
        <f>IF(($K$7+25)&gt;$L$7,"",IFERROR(B84/H84,""))</f>
        <v/>
      </c>
      <c r="J84" s="41">
        <f>IF(($K$7+25)&gt;$L$7,"",IFERROR(H84/E84,""))</f>
        <v/>
      </c>
    </row>
    <row r="85">
      <c r="A85" s="29">
        <f>IF(($K$7+26)&gt;$L$7,"",TEXT(($K$7+26),"DD.MM")&amp;" "&amp;CHOOSE(WEEKDAY(($K$7+26),2),"пн","вт","ср","чт","пт","сб","вс"))</f>
        <v/>
      </c>
      <c r="B85" s="30">
        <f>IF(($K$7+26)&gt;$L$7,"",SUMIFS('Данные'!$C:$C,'Данные'!$A:$A,"&gt;="&amp;($K$7+26),'Данные'!$A:$A,"&lt;"&amp;($K$7+26)+1,'Данные'!$B:$B,$B$3))</f>
        <v/>
      </c>
      <c r="C85" s="30">
        <f>IF(($K$7+26)&gt;$L$7,"",B85*(100+22)/100)</f>
        <v/>
      </c>
      <c r="D85" s="31">
        <f>IF(($K$7+26)&gt;$L$7,"",SUMIFS('Данные'!$D:$D,'Данные'!$A:$A,"&gt;="&amp;($K$7+26),'Данные'!$A:$A,"&lt;"&amp;($K$7+26)+1,'Данные'!$B:$B,$B$3))</f>
        <v/>
      </c>
      <c r="E85" s="31">
        <f>IF(($K$7+26)&gt;$L$7,"",SUMIFS('Данные'!$E:$E,'Данные'!$A:$A,"&gt;="&amp;($K$7+26),'Данные'!$A:$A,"&lt;"&amp;($K$7+26)+1,'Данные'!$B:$B,$B$3))</f>
        <v/>
      </c>
      <c r="F85" s="32">
        <f>IF(($K$7+26)&gt;$L$7,"",IFERROR(E85/D85,""))</f>
        <v/>
      </c>
      <c r="G85" s="33">
        <f>IF(($K$7+26)&gt;$L$7,"",IFERROR(B85/E85,""))</f>
        <v/>
      </c>
      <c r="H85" s="31">
        <f>IF(($K$7+26)&gt;$L$7,"",SUMIFS('Данные'!$F:$F,'Данные'!$A:$A,"&gt;="&amp;($K$7+26),'Данные'!$A:$A,"&lt;"&amp;($K$7+26)+1,'Данные'!$B:$B,$B$3))</f>
        <v/>
      </c>
      <c r="I85" s="33">
        <f>IF(($K$7+26)&gt;$L$7,"",IFERROR(B85/H85,""))</f>
        <v/>
      </c>
      <c r="J85" s="34">
        <f>IF(($K$7+26)&gt;$L$7,"",IFERROR(H85/E85,""))</f>
        <v/>
      </c>
    </row>
    <row r="86">
      <c r="A86" s="36">
        <f>IF(($K$7+27)&gt;$L$7,"",TEXT(($K$7+27),"DD.MM")&amp;" "&amp;CHOOSE(WEEKDAY(($K$7+27),2),"пн","вт","ср","чт","пт","сб","вс"))</f>
        <v/>
      </c>
      <c r="B86" s="37">
        <f>IF(($K$7+27)&gt;$L$7,"",SUMIFS('Данные'!$C:$C,'Данные'!$A:$A,"&gt;="&amp;($K$7+27),'Данные'!$A:$A,"&lt;"&amp;($K$7+27)+1,'Данные'!$B:$B,$B$3))</f>
        <v/>
      </c>
      <c r="C86" s="37">
        <f>IF(($K$7+27)&gt;$L$7,"",B86*(100+22)/100)</f>
        <v/>
      </c>
      <c r="D86" s="38">
        <f>IF(($K$7+27)&gt;$L$7,"",SUMIFS('Данные'!$D:$D,'Данные'!$A:$A,"&gt;="&amp;($K$7+27),'Данные'!$A:$A,"&lt;"&amp;($K$7+27)+1,'Данные'!$B:$B,$B$3))</f>
        <v/>
      </c>
      <c r="E86" s="38">
        <f>IF(($K$7+27)&gt;$L$7,"",SUMIFS('Данные'!$E:$E,'Данные'!$A:$A,"&gt;="&amp;($K$7+27),'Данные'!$A:$A,"&lt;"&amp;($K$7+27)+1,'Данные'!$B:$B,$B$3))</f>
        <v/>
      </c>
      <c r="F86" s="39">
        <f>IF(($K$7+27)&gt;$L$7,"",IFERROR(E86/D86,""))</f>
        <v/>
      </c>
      <c r="G86" s="40">
        <f>IF(($K$7+27)&gt;$L$7,"",IFERROR(B86/E86,""))</f>
        <v/>
      </c>
      <c r="H86" s="38">
        <f>IF(($K$7+27)&gt;$L$7,"",SUMIFS('Данные'!$F:$F,'Данные'!$A:$A,"&gt;="&amp;($K$7+27),'Данные'!$A:$A,"&lt;"&amp;($K$7+27)+1,'Данные'!$B:$B,$B$3))</f>
        <v/>
      </c>
      <c r="I86" s="40">
        <f>IF(($K$7+27)&gt;$L$7,"",IFERROR(B86/H86,""))</f>
        <v/>
      </c>
      <c r="J86" s="41">
        <f>IF(($K$7+27)&gt;$L$7,"",IFERROR(H86/E86,""))</f>
        <v/>
      </c>
    </row>
    <row r="87">
      <c r="A87" s="29">
        <f>IF(($K$7+28)&gt;$L$7,"",TEXT(($K$7+28),"DD.MM")&amp;" "&amp;CHOOSE(WEEKDAY(($K$7+28),2),"пн","вт","ср","чт","пт","сб","вс"))</f>
        <v/>
      </c>
      <c r="B87" s="30">
        <f>IF(($K$7+28)&gt;$L$7,"",SUMIFS('Данные'!$C:$C,'Данные'!$A:$A,"&gt;="&amp;($K$7+28),'Данные'!$A:$A,"&lt;"&amp;($K$7+28)+1,'Данные'!$B:$B,$B$3))</f>
        <v/>
      </c>
      <c r="C87" s="30">
        <f>IF(($K$7+28)&gt;$L$7,"",B87*(100+22)/100)</f>
        <v/>
      </c>
      <c r="D87" s="31">
        <f>IF(($K$7+28)&gt;$L$7,"",SUMIFS('Данные'!$D:$D,'Данные'!$A:$A,"&gt;="&amp;($K$7+28),'Данные'!$A:$A,"&lt;"&amp;($K$7+28)+1,'Данные'!$B:$B,$B$3))</f>
        <v/>
      </c>
      <c r="E87" s="31">
        <f>IF(($K$7+28)&gt;$L$7,"",SUMIFS('Данные'!$E:$E,'Данные'!$A:$A,"&gt;="&amp;($K$7+28),'Данные'!$A:$A,"&lt;"&amp;($K$7+28)+1,'Данные'!$B:$B,$B$3))</f>
        <v/>
      </c>
      <c r="F87" s="32">
        <f>IF(($K$7+28)&gt;$L$7,"",IFERROR(E87/D87,""))</f>
        <v/>
      </c>
      <c r="G87" s="33">
        <f>IF(($K$7+28)&gt;$L$7,"",IFERROR(B87/E87,""))</f>
        <v/>
      </c>
      <c r="H87" s="31">
        <f>IF(($K$7+28)&gt;$L$7,"",SUMIFS('Данные'!$F:$F,'Данные'!$A:$A,"&gt;="&amp;($K$7+28),'Данные'!$A:$A,"&lt;"&amp;($K$7+28)+1,'Данные'!$B:$B,$B$3))</f>
        <v/>
      </c>
      <c r="I87" s="33">
        <f>IF(($K$7+28)&gt;$L$7,"",IFERROR(B87/H87,""))</f>
        <v/>
      </c>
      <c r="J87" s="34">
        <f>IF(($K$7+28)&gt;$L$7,"",IFERROR(H87/E87,""))</f>
        <v/>
      </c>
    </row>
    <row r="88">
      <c r="A88" s="36">
        <f>IF(($K$7+29)&gt;$L$7,"",TEXT(($K$7+29),"DD.MM")&amp;" "&amp;CHOOSE(WEEKDAY(($K$7+29),2),"пн","вт","ср","чт","пт","сб","вс"))</f>
        <v/>
      </c>
      <c r="B88" s="37">
        <f>IF(($K$7+29)&gt;$L$7,"",SUMIFS('Данные'!$C:$C,'Данные'!$A:$A,"&gt;="&amp;($K$7+29),'Данные'!$A:$A,"&lt;"&amp;($K$7+29)+1,'Данные'!$B:$B,$B$3))</f>
        <v/>
      </c>
      <c r="C88" s="37">
        <f>IF(($K$7+29)&gt;$L$7,"",B88*(100+22)/100)</f>
        <v/>
      </c>
      <c r="D88" s="38">
        <f>IF(($K$7+29)&gt;$L$7,"",SUMIFS('Данные'!$D:$D,'Данные'!$A:$A,"&gt;="&amp;($K$7+29),'Данные'!$A:$A,"&lt;"&amp;($K$7+29)+1,'Данные'!$B:$B,$B$3))</f>
        <v/>
      </c>
      <c r="E88" s="38">
        <f>IF(($K$7+29)&gt;$L$7,"",SUMIFS('Данные'!$E:$E,'Данные'!$A:$A,"&gt;="&amp;($K$7+29),'Данные'!$A:$A,"&lt;"&amp;($K$7+29)+1,'Данные'!$B:$B,$B$3))</f>
        <v/>
      </c>
      <c r="F88" s="39">
        <f>IF(($K$7+29)&gt;$L$7,"",IFERROR(E88/D88,""))</f>
        <v/>
      </c>
      <c r="G88" s="40">
        <f>IF(($K$7+29)&gt;$L$7,"",IFERROR(B88/E88,""))</f>
        <v/>
      </c>
      <c r="H88" s="38">
        <f>IF(($K$7+29)&gt;$L$7,"",SUMIFS('Данные'!$F:$F,'Данные'!$A:$A,"&gt;="&amp;($K$7+29),'Данные'!$A:$A,"&lt;"&amp;($K$7+29)+1,'Данные'!$B:$B,$B$3))</f>
        <v/>
      </c>
      <c r="I88" s="40">
        <f>IF(($K$7+29)&gt;$L$7,"",IFERROR(B88/H88,""))</f>
        <v/>
      </c>
      <c r="J88" s="41">
        <f>IF(($K$7+29)&gt;$L$7,"",IFERROR(H88/E88,""))</f>
        <v/>
      </c>
    </row>
    <row r="89">
      <c r="A89" s="29">
        <f>IF(($K$7+30)&gt;$L$7,"",TEXT(($K$7+30),"DD.MM")&amp;" "&amp;CHOOSE(WEEKDAY(($K$7+30),2),"пн","вт","ср","чт","пт","сб","вс"))</f>
        <v/>
      </c>
      <c r="B89" s="30">
        <f>IF(($K$7+30)&gt;$L$7,"",SUMIFS('Данные'!$C:$C,'Данные'!$A:$A,"&gt;="&amp;($K$7+30),'Данные'!$A:$A,"&lt;"&amp;($K$7+30)+1,'Данные'!$B:$B,$B$3))</f>
        <v/>
      </c>
      <c r="C89" s="30">
        <f>IF(($K$7+30)&gt;$L$7,"",B89*(100+22)/100)</f>
        <v/>
      </c>
      <c r="D89" s="31">
        <f>IF(($K$7+30)&gt;$L$7,"",SUMIFS('Данные'!$D:$D,'Данные'!$A:$A,"&gt;="&amp;($K$7+30),'Данные'!$A:$A,"&lt;"&amp;($K$7+30)+1,'Данные'!$B:$B,$B$3))</f>
        <v/>
      </c>
      <c r="E89" s="31">
        <f>IF(($K$7+30)&gt;$L$7,"",SUMIFS('Данные'!$E:$E,'Данные'!$A:$A,"&gt;="&amp;($K$7+30),'Данные'!$A:$A,"&lt;"&amp;($K$7+30)+1,'Данные'!$B:$B,$B$3))</f>
        <v/>
      </c>
      <c r="F89" s="32">
        <f>IF(($K$7+30)&gt;$L$7,"",IFERROR(E89/D89,""))</f>
        <v/>
      </c>
      <c r="G89" s="33">
        <f>IF(($K$7+30)&gt;$L$7,"",IFERROR(B89/E89,""))</f>
        <v/>
      </c>
      <c r="H89" s="31">
        <f>IF(($K$7+30)&gt;$L$7,"",SUMIFS('Данные'!$F:$F,'Данные'!$A:$A,"&gt;="&amp;($K$7+30),'Данные'!$A:$A,"&lt;"&amp;($K$7+30)+1,'Данные'!$B:$B,$B$3))</f>
        <v/>
      </c>
      <c r="I89" s="33">
        <f>IF(($K$7+30)&gt;$L$7,"",IFERROR(B89/H89,""))</f>
        <v/>
      </c>
      <c r="J89" s="34">
        <f>IF(($K$7+30)&gt;$L$7,"",IFERROR(H89/E89,""))</f>
        <v/>
      </c>
    </row>
    <row r="90">
      <c r="A90" s="36">
        <f>IF(($K$7+31)&gt;$L$7,"",TEXT(($K$7+31),"DD.MM")&amp;" "&amp;CHOOSE(WEEKDAY(($K$7+31),2),"пн","вт","ср","чт","пт","сб","вс"))</f>
        <v/>
      </c>
      <c r="B90" s="37">
        <f>IF(($K$7+31)&gt;$L$7,"",SUMIFS('Данные'!$C:$C,'Данные'!$A:$A,"&gt;="&amp;($K$7+31),'Данные'!$A:$A,"&lt;"&amp;($K$7+31)+1,'Данные'!$B:$B,$B$3))</f>
        <v/>
      </c>
      <c r="C90" s="37">
        <f>IF(($K$7+31)&gt;$L$7,"",B90*(100+22)/100)</f>
        <v/>
      </c>
      <c r="D90" s="38">
        <f>IF(($K$7+31)&gt;$L$7,"",SUMIFS('Данные'!$D:$D,'Данные'!$A:$A,"&gt;="&amp;($K$7+31),'Данные'!$A:$A,"&lt;"&amp;($K$7+31)+1,'Данные'!$B:$B,$B$3))</f>
        <v/>
      </c>
      <c r="E90" s="38">
        <f>IF(($K$7+31)&gt;$L$7,"",SUMIFS('Данные'!$E:$E,'Данные'!$A:$A,"&gt;="&amp;($K$7+31),'Данные'!$A:$A,"&lt;"&amp;($K$7+31)+1,'Данные'!$B:$B,$B$3))</f>
        <v/>
      </c>
      <c r="F90" s="39">
        <f>IF(($K$7+31)&gt;$L$7,"",IFERROR(E90/D90,""))</f>
        <v/>
      </c>
      <c r="G90" s="40">
        <f>IF(($K$7+31)&gt;$L$7,"",IFERROR(B90/E90,""))</f>
        <v/>
      </c>
      <c r="H90" s="38">
        <f>IF(($K$7+31)&gt;$L$7,"",SUMIFS('Данные'!$F:$F,'Данные'!$A:$A,"&gt;="&amp;($K$7+31),'Данные'!$A:$A,"&lt;"&amp;($K$7+31)+1,'Данные'!$B:$B,$B$3))</f>
        <v/>
      </c>
      <c r="I90" s="40">
        <f>IF(($K$7+31)&gt;$L$7,"",IFERROR(B90/H90,""))</f>
        <v/>
      </c>
      <c r="J90" s="41">
        <f>IF(($K$7+31)&gt;$L$7,"",IFERROR(H90/E90,""))</f>
        <v/>
      </c>
    </row>
    <row r="91">
      <c r="A91" s="29">
        <f>IF(($K$7+32)&gt;$L$7,"",TEXT(($K$7+32),"DD.MM")&amp;" "&amp;CHOOSE(WEEKDAY(($K$7+32),2),"пн","вт","ср","чт","пт","сб","вс"))</f>
        <v/>
      </c>
      <c r="B91" s="30">
        <f>IF(($K$7+32)&gt;$L$7,"",SUMIFS('Данные'!$C:$C,'Данные'!$A:$A,"&gt;="&amp;($K$7+32),'Данные'!$A:$A,"&lt;"&amp;($K$7+32)+1,'Данные'!$B:$B,$B$3))</f>
        <v/>
      </c>
      <c r="C91" s="30">
        <f>IF(($K$7+32)&gt;$L$7,"",B91*(100+22)/100)</f>
        <v/>
      </c>
      <c r="D91" s="31">
        <f>IF(($K$7+32)&gt;$L$7,"",SUMIFS('Данные'!$D:$D,'Данные'!$A:$A,"&gt;="&amp;($K$7+32),'Данные'!$A:$A,"&lt;"&amp;($K$7+32)+1,'Данные'!$B:$B,$B$3))</f>
        <v/>
      </c>
      <c r="E91" s="31">
        <f>IF(($K$7+32)&gt;$L$7,"",SUMIFS('Данные'!$E:$E,'Данные'!$A:$A,"&gt;="&amp;($K$7+32),'Данные'!$A:$A,"&lt;"&amp;($K$7+32)+1,'Данные'!$B:$B,$B$3))</f>
        <v/>
      </c>
      <c r="F91" s="32">
        <f>IF(($K$7+32)&gt;$L$7,"",IFERROR(E91/D91,""))</f>
        <v/>
      </c>
      <c r="G91" s="33">
        <f>IF(($K$7+32)&gt;$L$7,"",IFERROR(B91/E91,""))</f>
        <v/>
      </c>
      <c r="H91" s="31">
        <f>IF(($K$7+32)&gt;$L$7,"",SUMIFS('Данные'!$F:$F,'Данные'!$A:$A,"&gt;="&amp;($K$7+32),'Данные'!$A:$A,"&lt;"&amp;($K$7+32)+1,'Данные'!$B:$B,$B$3))</f>
        <v/>
      </c>
      <c r="I91" s="33">
        <f>IF(($K$7+32)&gt;$L$7,"",IFERROR(B91/H91,""))</f>
        <v/>
      </c>
      <c r="J91" s="34">
        <f>IF(($K$7+32)&gt;$L$7,"",IFERROR(H91/E91,""))</f>
        <v/>
      </c>
    </row>
    <row r="92">
      <c r="A92" s="36">
        <f>IF(($K$7+33)&gt;$L$7,"",TEXT(($K$7+33),"DD.MM")&amp;" "&amp;CHOOSE(WEEKDAY(($K$7+33),2),"пн","вт","ср","чт","пт","сб","вс"))</f>
        <v/>
      </c>
      <c r="B92" s="37">
        <f>IF(($K$7+33)&gt;$L$7,"",SUMIFS('Данные'!$C:$C,'Данные'!$A:$A,"&gt;="&amp;($K$7+33),'Данные'!$A:$A,"&lt;"&amp;($K$7+33)+1,'Данные'!$B:$B,$B$3))</f>
        <v/>
      </c>
      <c r="C92" s="37">
        <f>IF(($K$7+33)&gt;$L$7,"",B92*(100+22)/100)</f>
        <v/>
      </c>
      <c r="D92" s="38">
        <f>IF(($K$7+33)&gt;$L$7,"",SUMIFS('Данные'!$D:$D,'Данные'!$A:$A,"&gt;="&amp;($K$7+33),'Данные'!$A:$A,"&lt;"&amp;($K$7+33)+1,'Данные'!$B:$B,$B$3))</f>
        <v/>
      </c>
      <c r="E92" s="38">
        <f>IF(($K$7+33)&gt;$L$7,"",SUMIFS('Данные'!$E:$E,'Данные'!$A:$A,"&gt;="&amp;($K$7+33),'Данные'!$A:$A,"&lt;"&amp;($K$7+33)+1,'Данные'!$B:$B,$B$3))</f>
        <v/>
      </c>
      <c r="F92" s="39">
        <f>IF(($K$7+33)&gt;$L$7,"",IFERROR(E92/D92,""))</f>
        <v/>
      </c>
      <c r="G92" s="40">
        <f>IF(($K$7+33)&gt;$L$7,"",IFERROR(B92/E92,""))</f>
        <v/>
      </c>
      <c r="H92" s="38">
        <f>IF(($K$7+33)&gt;$L$7,"",SUMIFS('Данные'!$F:$F,'Данные'!$A:$A,"&gt;="&amp;($K$7+33),'Данные'!$A:$A,"&lt;"&amp;($K$7+33)+1,'Данные'!$B:$B,$B$3))</f>
        <v/>
      </c>
      <c r="I92" s="40">
        <f>IF(($K$7+33)&gt;$L$7,"",IFERROR(B92/H92,""))</f>
        <v/>
      </c>
      <c r="J92" s="41">
        <f>IF(($K$7+33)&gt;$L$7,"",IFERROR(H92/E92,""))</f>
        <v/>
      </c>
    </row>
    <row r="93">
      <c r="A93" s="29">
        <f>IF(($K$7+34)&gt;$L$7,"",TEXT(($K$7+34),"DD.MM")&amp;" "&amp;CHOOSE(WEEKDAY(($K$7+34),2),"пн","вт","ср","чт","пт","сб","вс"))</f>
        <v/>
      </c>
      <c r="B93" s="30">
        <f>IF(($K$7+34)&gt;$L$7,"",SUMIFS('Данные'!$C:$C,'Данные'!$A:$A,"&gt;="&amp;($K$7+34),'Данные'!$A:$A,"&lt;"&amp;($K$7+34)+1,'Данные'!$B:$B,$B$3))</f>
        <v/>
      </c>
      <c r="C93" s="30">
        <f>IF(($K$7+34)&gt;$L$7,"",B93*(100+22)/100)</f>
        <v/>
      </c>
      <c r="D93" s="31">
        <f>IF(($K$7+34)&gt;$L$7,"",SUMIFS('Данные'!$D:$D,'Данные'!$A:$A,"&gt;="&amp;($K$7+34),'Данные'!$A:$A,"&lt;"&amp;($K$7+34)+1,'Данные'!$B:$B,$B$3))</f>
        <v/>
      </c>
      <c r="E93" s="31">
        <f>IF(($K$7+34)&gt;$L$7,"",SUMIFS('Данные'!$E:$E,'Данные'!$A:$A,"&gt;="&amp;($K$7+34),'Данные'!$A:$A,"&lt;"&amp;($K$7+34)+1,'Данные'!$B:$B,$B$3))</f>
        <v/>
      </c>
      <c r="F93" s="32">
        <f>IF(($K$7+34)&gt;$L$7,"",IFERROR(E93/D93,""))</f>
        <v/>
      </c>
      <c r="G93" s="33">
        <f>IF(($K$7+34)&gt;$L$7,"",IFERROR(B93/E93,""))</f>
        <v/>
      </c>
      <c r="H93" s="31">
        <f>IF(($K$7+34)&gt;$L$7,"",SUMIFS('Данные'!$F:$F,'Данные'!$A:$A,"&gt;="&amp;($K$7+34),'Данные'!$A:$A,"&lt;"&amp;($K$7+34)+1,'Данные'!$B:$B,$B$3))</f>
        <v/>
      </c>
      <c r="I93" s="33">
        <f>IF(($K$7+34)&gt;$L$7,"",IFERROR(B93/H93,""))</f>
        <v/>
      </c>
      <c r="J93" s="34">
        <f>IF(($K$7+34)&gt;$L$7,"",IFERROR(H93/E93,""))</f>
        <v/>
      </c>
    </row>
    <row r="94">
      <c r="A94" s="36">
        <f>IF(($K$7+35)&gt;$L$7,"",TEXT(($K$7+35),"DD.MM")&amp;" "&amp;CHOOSE(WEEKDAY(($K$7+35),2),"пн","вт","ср","чт","пт","сб","вс"))</f>
        <v/>
      </c>
      <c r="B94" s="37">
        <f>IF(($K$7+35)&gt;$L$7,"",SUMIFS('Данные'!$C:$C,'Данные'!$A:$A,"&gt;="&amp;($K$7+35),'Данные'!$A:$A,"&lt;"&amp;($K$7+35)+1,'Данные'!$B:$B,$B$3))</f>
        <v/>
      </c>
      <c r="C94" s="37">
        <f>IF(($K$7+35)&gt;$L$7,"",B94*(100+22)/100)</f>
        <v/>
      </c>
      <c r="D94" s="38">
        <f>IF(($K$7+35)&gt;$L$7,"",SUMIFS('Данные'!$D:$D,'Данные'!$A:$A,"&gt;="&amp;($K$7+35),'Данные'!$A:$A,"&lt;"&amp;($K$7+35)+1,'Данные'!$B:$B,$B$3))</f>
        <v/>
      </c>
      <c r="E94" s="38">
        <f>IF(($K$7+35)&gt;$L$7,"",SUMIFS('Данные'!$E:$E,'Данные'!$A:$A,"&gt;="&amp;($K$7+35),'Данные'!$A:$A,"&lt;"&amp;($K$7+35)+1,'Данные'!$B:$B,$B$3))</f>
        <v/>
      </c>
      <c r="F94" s="39">
        <f>IF(($K$7+35)&gt;$L$7,"",IFERROR(E94/D94,""))</f>
        <v/>
      </c>
      <c r="G94" s="40">
        <f>IF(($K$7+35)&gt;$L$7,"",IFERROR(B94/E94,""))</f>
        <v/>
      </c>
      <c r="H94" s="38">
        <f>IF(($K$7+35)&gt;$L$7,"",SUMIFS('Данные'!$F:$F,'Данные'!$A:$A,"&gt;="&amp;($K$7+35),'Данные'!$A:$A,"&lt;"&amp;($K$7+35)+1,'Данные'!$B:$B,$B$3))</f>
        <v/>
      </c>
      <c r="I94" s="40">
        <f>IF(($K$7+35)&gt;$L$7,"",IFERROR(B94/H94,""))</f>
        <v/>
      </c>
      <c r="J94" s="41">
        <f>IF(($K$7+35)&gt;$L$7,"",IFERROR(H94/E94,""))</f>
        <v/>
      </c>
    </row>
    <row r="95">
      <c r="A95" s="29">
        <f>IF(($K$7+36)&gt;$L$7,"",TEXT(($K$7+36),"DD.MM")&amp;" "&amp;CHOOSE(WEEKDAY(($K$7+36),2),"пн","вт","ср","чт","пт","сб","вс"))</f>
        <v/>
      </c>
      <c r="B95" s="30">
        <f>IF(($K$7+36)&gt;$L$7,"",SUMIFS('Данные'!$C:$C,'Данные'!$A:$A,"&gt;="&amp;($K$7+36),'Данные'!$A:$A,"&lt;"&amp;($K$7+36)+1,'Данные'!$B:$B,$B$3))</f>
        <v/>
      </c>
      <c r="C95" s="30">
        <f>IF(($K$7+36)&gt;$L$7,"",B95*(100+22)/100)</f>
        <v/>
      </c>
      <c r="D95" s="31">
        <f>IF(($K$7+36)&gt;$L$7,"",SUMIFS('Данные'!$D:$D,'Данные'!$A:$A,"&gt;="&amp;($K$7+36),'Данные'!$A:$A,"&lt;"&amp;($K$7+36)+1,'Данные'!$B:$B,$B$3))</f>
        <v/>
      </c>
      <c r="E95" s="31">
        <f>IF(($K$7+36)&gt;$L$7,"",SUMIFS('Данные'!$E:$E,'Данные'!$A:$A,"&gt;="&amp;($K$7+36),'Данные'!$A:$A,"&lt;"&amp;($K$7+36)+1,'Данные'!$B:$B,$B$3))</f>
        <v/>
      </c>
      <c r="F95" s="32">
        <f>IF(($K$7+36)&gt;$L$7,"",IFERROR(E95/D95,""))</f>
        <v/>
      </c>
      <c r="G95" s="33">
        <f>IF(($K$7+36)&gt;$L$7,"",IFERROR(B95/E95,""))</f>
        <v/>
      </c>
      <c r="H95" s="31">
        <f>IF(($K$7+36)&gt;$L$7,"",SUMIFS('Данные'!$F:$F,'Данные'!$A:$A,"&gt;="&amp;($K$7+36),'Данные'!$A:$A,"&lt;"&amp;($K$7+36)+1,'Данные'!$B:$B,$B$3))</f>
        <v/>
      </c>
      <c r="I95" s="33">
        <f>IF(($K$7+36)&gt;$L$7,"",IFERROR(B95/H95,""))</f>
        <v/>
      </c>
      <c r="J95" s="34">
        <f>IF(($K$7+36)&gt;$L$7,"",IFERROR(H95/E95,""))</f>
        <v/>
      </c>
    </row>
    <row r="96">
      <c r="A96" s="36">
        <f>IF(($K$7+37)&gt;$L$7,"",TEXT(($K$7+37),"DD.MM")&amp;" "&amp;CHOOSE(WEEKDAY(($K$7+37),2),"пн","вт","ср","чт","пт","сб","вс"))</f>
        <v/>
      </c>
      <c r="B96" s="37">
        <f>IF(($K$7+37)&gt;$L$7,"",SUMIFS('Данные'!$C:$C,'Данные'!$A:$A,"&gt;="&amp;($K$7+37),'Данные'!$A:$A,"&lt;"&amp;($K$7+37)+1,'Данные'!$B:$B,$B$3))</f>
        <v/>
      </c>
      <c r="C96" s="37">
        <f>IF(($K$7+37)&gt;$L$7,"",B96*(100+22)/100)</f>
        <v/>
      </c>
      <c r="D96" s="38">
        <f>IF(($K$7+37)&gt;$L$7,"",SUMIFS('Данные'!$D:$D,'Данные'!$A:$A,"&gt;="&amp;($K$7+37),'Данные'!$A:$A,"&lt;"&amp;($K$7+37)+1,'Данные'!$B:$B,$B$3))</f>
        <v/>
      </c>
      <c r="E96" s="38">
        <f>IF(($K$7+37)&gt;$L$7,"",SUMIFS('Данные'!$E:$E,'Данные'!$A:$A,"&gt;="&amp;($K$7+37),'Данные'!$A:$A,"&lt;"&amp;($K$7+37)+1,'Данные'!$B:$B,$B$3))</f>
        <v/>
      </c>
      <c r="F96" s="39">
        <f>IF(($K$7+37)&gt;$L$7,"",IFERROR(E96/D96,""))</f>
        <v/>
      </c>
      <c r="G96" s="40">
        <f>IF(($K$7+37)&gt;$L$7,"",IFERROR(B96/E96,""))</f>
        <v/>
      </c>
      <c r="H96" s="38">
        <f>IF(($K$7+37)&gt;$L$7,"",SUMIFS('Данные'!$F:$F,'Данные'!$A:$A,"&gt;="&amp;($K$7+37),'Данные'!$A:$A,"&lt;"&amp;($K$7+37)+1,'Данные'!$B:$B,$B$3))</f>
        <v/>
      </c>
      <c r="I96" s="40">
        <f>IF(($K$7+37)&gt;$L$7,"",IFERROR(B96/H96,""))</f>
        <v/>
      </c>
      <c r="J96" s="41">
        <f>IF(($K$7+37)&gt;$L$7,"",IFERROR(H96/E96,""))</f>
        <v/>
      </c>
    </row>
    <row r="97">
      <c r="A97" s="29">
        <f>IF(($K$7+38)&gt;$L$7,"",TEXT(($K$7+38),"DD.MM")&amp;" "&amp;CHOOSE(WEEKDAY(($K$7+38),2),"пн","вт","ср","чт","пт","сб","вс"))</f>
        <v/>
      </c>
      <c r="B97" s="30">
        <f>IF(($K$7+38)&gt;$L$7,"",SUMIFS('Данные'!$C:$C,'Данные'!$A:$A,"&gt;="&amp;($K$7+38),'Данные'!$A:$A,"&lt;"&amp;($K$7+38)+1,'Данные'!$B:$B,$B$3))</f>
        <v/>
      </c>
      <c r="C97" s="30">
        <f>IF(($K$7+38)&gt;$L$7,"",B97*(100+22)/100)</f>
        <v/>
      </c>
      <c r="D97" s="31">
        <f>IF(($K$7+38)&gt;$L$7,"",SUMIFS('Данные'!$D:$D,'Данные'!$A:$A,"&gt;="&amp;($K$7+38),'Данные'!$A:$A,"&lt;"&amp;($K$7+38)+1,'Данные'!$B:$B,$B$3))</f>
        <v/>
      </c>
      <c r="E97" s="31">
        <f>IF(($K$7+38)&gt;$L$7,"",SUMIFS('Данные'!$E:$E,'Данные'!$A:$A,"&gt;="&amp;($K$7+38),'Данные'!$A:$A,"&lt;"&amp;($K$7+38)+1,'Данные'!$B:$B,$B$3))</f>
        <v/>
      </c>
      <c r="F97" s="32">
        <f>IF(($K$7+38)&gt;$L$7,"",IFERROR(E97/D97,""))</f>
        <v/>
      </c>
      <c r="G97" s="33">
        <f>IF(($K$7+38)&gt;$L$7,"",IFERROR(B97/E97,""))</f>
        <v/>
      </c>
      <c r="H97" s="31">
        <f>IF(($K$7+38)&gt;$L$7,"",SUMIFS('Данные'!$F:$F,'Данные'!$A:$A,"&gt;="&amp;($K$7+38),'Данные'!$A:$A,"&lt;"&amp;($K$7+38)+1,'Данные'!$B:$B,$B$3))</f>
        <v/>
      </c>
      <c r="I97" s="33">
        <f>IF(($K$7+38)&gt;$L$7,"",IFERROR(B97/H97,""))</f>
        <v/>
      </c>
      <c r="J97" s="34">
        <f>IF(($K$7+38)&gt;$L$7,"",IFERROR(H97/E97,""))</f>
        <v/>
      </c>
    </row>
    <row r="98">
      <c r="A98" s="36">
        <f>IF(($K$7+39)&gt;$L$7,"",TEXT(($K$7+39),"DD.MM")&amp;" "&amp;CHOOSE(WEEKDAY(($K$7+39),2),"пн","вт","ср","чт","пт","сб","вс"))</f>
        <v/>
      </c>
      <c r="B98" s="37">
        <f>IF(($K$7+39)&gt;$L$7,"",SUMIFS('Данные'!$C:$C,'Данные'!$A:$A,"&gt;="&amp;($K$7+39),'Данные'!$A:$A,"&lt;"&amp;($K$7+39)+1,'Данные'!$B:$B,$B$3))</f>
        <v/>
      </c>
      <c r="C98" s="37">
        <f>IF(($K$7+39)&gt;$L$7,"",B98*(100+22)/100)</f>
        <v/>
      </c>
      <c r="D98" s="38">
        <f>IF(($K$7+39)&gt;$L$7,"",SUMIFS('Данные'!$D:$D,'Данные'!$A:$A,"&gt;="&amp;($K$7+39),'Данные'!$A:$A,"&lt;"&amp;($K$7+39)+1,'Данные'!$B:$B,$B$3))</f>
        <v/>
      </c>
      <c r="E98" s="38">
        <f>IF(($K$7+39)&gt;$L$7,"",SUMIFS('Данные'!$E:$E,'Данные'!$A:$A,"&gt;="&amp;($K$7+39),'Данные'!$A:$A,"&lt;"&amp;($K$7+39)+1,'Данные'!$B:$B,$B$3))</f>
        <v/>
      </c>
      <c r="F98" s="39">
        <f>IF(($K$7+39)&gt;$L$7,"",IFERROR(E98/D98,""))</f>
        <v/>
      </c>
      <c r="G98" s="40">
        <f>IF(($K$7+39)&gt;$L$7,"",IFERROR(B98/E98,""))</f>
        <v/>
      </c>
      <c r="H98" s="38">
        <f>IF(($K$7+39)&gt;$L$7,"",SUMIFS('Данные'!$F:$F,'Данные'!$A:$A,"&gt;="&amp;($K$7+39),'Данные'!$A:$A,"&lt;"&amp;($K$7+39)+1,'Данные'!$B:$B,$B$3))</f>
        <v/>
      </c>
      <c r="I98" s="40">
        <f>IF(($K$7+39)&gt;$L$7,"",IFERROR(B98/H98,""))</f>
        <v/>
      </c>
      <c r="J98" s="41">
        <f>IF(($K$7+39)&gt;$L$7,"",IFERROR(H98/E98,""))</f>
        <v/>
      </c>
    </row>
    <row r="99">
      <c r="A99" s="29">
        <f>IF(($K$7+40)&gt;$L$7,"",TEXT(($K$7+40),"DD.MM")&amp;" "&amp;CHOOSE(WEEKDAY(($K$7+40),2),"пн","вт","ср","чт","пт","сб","вс"))</f>
        <v/>
      </c>
      <c r="B99" s="30">
        <f>IF(($K$7+40)&gt;$L$7,"",SUMIFS('Данные'!$C:$C,'Данные'!$A:$A,"&gt;="&amp;($K$7+40),'Данные'!$A:$A,"&lt;"&amp;($K$7+40)+1,'Данные'!$B:$B,$B$3))</f>
        <v/>
      </c>
      <c r="C99" s="30">
        <f>IF(($K$7+40)&gt;$L$7,"",B99*(100+22)/100)</f>
        <v/>
      </c>
      <c r="D99" s="31">
        <f>IF(($K$7+40)&gt;$L$7,"",SUMIFS('Данные'!$D:$D,'Данные'!$A:$A,"&gt;="&amp;($K$7+40),'Данные'!$A:$A,"&lt;"&amp;($K$7+40)+1,'Данные'!$B:$B,$B$3))</f>
        <v/>
      </c>
      <c r="E99" s="31">
        <f>IF(($K$7+40)&gt;$L$7,"",SUMIFS('Данные'!$E:$E,'Данные'!$A:$A,"&gt;="&amp;($K$7+40),'Данные'!$A:$A,"&lt;"&amp;($K$7+40)+1,'Данные'!$B:$B,$B$3))</f>
        <v/>
      </c>
      <c r="F99" s="32">
        <f>IF(($K$7+40)&gt;$L$7,"",IFERROR(E99/D99,""))</f>
        <v/>
      </c>
      <c r="G99" s="33">
        <f>IF(($K$7+40)&gt;$L$7,"",IFERROR(B99/E99,""))</f>
        <v/>
      </c>
      <c r="H99" s="31">
        <f>IF(($K$7+40)&gt;$L$7,"",SUMIFS('Данные'!$F:$F,'Данные'!$A:$A,"&gt;="&amp;($K$7+40),'Данные'!$A:$A,"&lt;"&amp;($K$7+40)+1,'Данные'!$B:$B,$B$3))</f>
        <v/>
      </c>
      <c r="I99" s="33">
        <f>IF(($K$7+40)&gt;$L$7,"",IFERROR(B99/H99,""))</f>
        <v/>
      </c>
      <c r="J99" s="34">
        <f>IF(($K$7+40)&gt;$L$7,"",IFERROR(H99/E99,""))</f>
        <v/>
      </c>
    </row>
    <row r="100">
      <c r="A100" s="36">
        <f>IF(($K$7+41)&gt;$L$7,"",TEXT(($K$7+41),"DD.MM")&amp;" "&amp;CHOOSE(WEEKDAY(($K$7+41),2),"пн","вт","ср","чт","пт","сб","вс"))</f>
        <v/>
      </c>
      <c r="B100" s="37">
        <f>IF(($K$7+41)&gt;$L$7,"",SUMIFS('Данные'!$C:$C,'Данные'!$A:$A,"&gt;="&amp;($K$7+41),'Данные'!$A:$A,"&lt;"&amp;($K$7+41)+1,'Данные'!$B:$B,$B$3))</f>
        <v/>
      </c>
      <c r="C100" s="37">
        <f>IF(($K$7+41)&gt;$L$7,"",B100*(100+22)/100)</f>
        <v/>
      </c>
      <c r="D100" s="38">
        <f>IF(($K$7+41)&gt;$L$7,"",SUMIFS('Данные'!$D:$D,'Данные'!$A:$A,"&gt;="&amp;($K$7+41),'Данные'!$A:$A,"&lt;"&amp;($K$7+41)+1,'Данные'!$B:$B,$B$3))</f>
        <v/>
      </c>
      <c r="E100" s="38">
        <f>IF(($K$7+41)&gt;$L$7,"",SUMIFS('Данные'!$E:$E,'Данные'!$A:$A,"&gt;="&amp;($K$7+41),'Данные'!$A:$A,"&lt;"&amp;($K$7+41)+1,'Данные'!$B:$B,$B$3))</f>
        <v/>
      </c>
      <c r="F100" s="39">
        <f>IF(($K$7+41)&gt;$L$7,"",IFERROR(E100/D100,""))</f>
        <v/>
      </c>
      <c r="G100" s="40">
        <f>IF(($K$7+41)&gt;$L$7,"",IFERROR(B100/E100,""))</f>
        <v/>
      </c>
      <c r="H100" s="38">
        <f>IF(($K$7+41)&gt;$L$7,"",SUMIFS('Данные'!$F:$F,'Данные'!$A:$A,"&gt;="&amp;($K$7+41),'Данные'!$A:$A,"&lt;"&amp;($K$7+41)+1,'Данные'!$B:$B,$B$3))</f>
        <v/>
      </c>
      <c r="I100" s="40">
        <f>IF(($K$7+41)&gt;$L$7,"",IFERROR(B100/H100,""))</f>
        <v/>
      </c>
      <c r="J100" s="41">
        <f>IF(($K$7+41)&gt;$L$7,"",IFERROR(H100/E100,""))</f>
        <v/>
      </c>
    </row>
    <row r="101">
      <c r="A101" s="29">
        <f>IF(($K$7+42)&gt;$L$7,"",TEXT(($K$7+42),"DD.MM")&amp;" "&amp;CHOOSE(WEEKDAY(($K$7+42),2),"пн","вт","ср","чт","пт","сб","вс"))</f>
        <v/>
      </c>
      <c r="B101" s="30">
        <f>IF(($K$7+42)&gt;$L$7,"",SUMIFS('Данные'!$C:$C,'Данные'!$A:$A,"&gt;="&amp;($K$7+42),'Данные'!$A:$A,"&lt;"&amp;($K$7+42)+1,'Данные'!$B:$B,$B$3))</f>
        <v/>
      </c>
      <c r="C101" s="30">
        <f>IF(($K$7+42)&gt;$L$7,"",B101*(100+22)/100)</f>
        <v/>
      </c>
      <c r="D101" s="31">
        <f>IF(($K$7+42)&gt;$L$7,"",SUMIFS('Данные'!$D:$D,'Данные'!$A:$A,"&gt;="&amp;($K$7+42),'Данные'!$A:$A,"&lt;"&amp;($K$7+42)+1,'Данные'!$B:$B,$B$3))</f>
        <v/>
      </c>
      <c r="E101" s="31">
        <f>IF(($K$7+42)&gt;$L$7,"",SUMIFS('Данные'!$E:$E,'Данные'!$A:$A,"&gt;="&amp;($K$7+42),'Данные'!$A:$A,"&lt;"&amp;($K$7+42)+1,'Данные'!$B:$B,$B$3))</f>
        <v/>
      </c>
      <c r="F101" s="32">
        <f>IF(($K$7+42)&gt;$L$7,"",IFERROR(E101/D101,""))</f>
        <v/>
      </c>
      <c r="G101" s="33">
        <f>IF(($K$7+42)&gt;$L$7,"",IFERROR(B101/E101,""))</f>
        <v/>
      </c>
      <c r="H101" s="31">
        <f>IF(($K$7+42)&gt;$L$7,"",SUMIFS('Данные'!$F:$F,'Данные'!$A:$A,"&gt;="&amp;($K$7+42),'Данные'!$A:$A,"&lt;"&amp;($K$7+42)+1,'Данные'!$B:$B,$B$3))</f>
        <v/>
      </c>
      <c r="I101" s="33">
        <f>IF(($K$7+42)&gt;$L$7,"",IFERROR(B101/H101,""))</f>
        <v/>
      </c>
      <c r="J101" s="34">
        <f>IF(($K$7+42)&gt;$L$7,"",IFERROR(H101/E101,""))</f>
        <v/>
      </c>
    </row>
    <row r="102">
      <c r="A102" s="36">
        <f>IF(($K$7+43)&gt;$L$7,"",TEXT(($K$7+43),"DD.MM")&amp;" "&amp;CHOOSE(WEEKDAY(($K$7+43),2),"пн","вт","ср","чт","пт","сб","вс"))</f>
        <v/>
      </c>
      <c r="B102" s="37">
        <f>IF(($K$7+43)&gt;$L$7,"",SUMIFS('Данные'!$C:$C,'Данные'!$A:$A,"&gt;="&amp;($K$7+43),'Данные'!$A:$A,"&lt;"&amp;($K$7+43)+1,'Данные'!$B:$B,$B$3))</f>
        <v/>
      </c>
      <c r="C102" s="37">
        <f>IF(($K$7+43)&gt;$L$7,"",B102*(100+22)/100)</f>
        <v/>
      </c>
      <c r="D102" s="38">
        <f>IF(($K$7+43)&gt;$L$7,"",SUMIFS('Данные'!$D:$D,'Данные'!$A:$A,"&gt;="&amp;($K$7+43),'Данные'!$A:$A,"&lt;"&amp;($K$7+43)+1,'Данные'!$B:$B,$B$3))</f>
        <v/>
      </c>
      <c r="E102" s="38">
        <f>IF(($K$7+43)&gt;$L$7,"",SUMIFS('Данные'!$E:$E,'Данные'!$A:$A,"&gt;="&amp;($K$7+43),'Данные'!$A:$A,"&lt;"&amp;($K$7+43)+1,'Данные'!$B:$B,$B$3))</f>
        <v/>
      </c>
      <c r="F102" s="39">
        <f>IF(($K$7+43)&gt;$L$7,"",IFERROR(E102/D102,""))</f>
        <v/>
      </c>
      <c r="G102" s="40">
        <f>IF(($K$7+43)&gt;$L$7,"",IFERROR(B102/E102,""))</f>
        <v/>
      </c>
      <c r="H102" s="38">
        <f>IF(($K$7+43)&gt;$L$7,"",SUMIFS('Данные'!$F:$F,'Данные'!$A:$A,"&gt;="&amp;($K$7+43),'Данные'!$A:$A,"&lt;"&amp;($K$7+43)+1,'Данные'!$B:$B,$B$3))</f>
        <v/>
      </c>
      <c r="I102" s="40">
        <f>IF(($K$7+43)&gt;$L$7,"",IFERROR(B102/H102,""))</f>
        <v/>
      </c>
      <c r="J102" s="41">
        <f>IF(($K$7+43)&gt;$L$7,"",IFERROR(H102/E102,""))</f>
        <v/>
      </c>
    </row>
    <row r="103">
      <c r="A103" s="29">
        <f>IF(($K$7+44)&gt;$L$7,"",TEXT(($K$7+44),"DD.MM")&amp;" "&amp;CHOOSE(WEEKDAY(($K$7+44),2),"пн","вт","ср","чт","пт","сб","вс"))</f>
        <v/>
      </c>
      <c r="B103" s="30">
        <f>IF(($K$7+44)&gt;$L$7,"",SUMIFS('Данные'!$C:$C,'Данные'!$A:$A,"&gt;="&amp;($K$7+44),'Данные'!$A:$A,"&lt;"&amp;($K$7+44)+1,'Данные'!$B:$B,$B$3))</f>
        <v/>
      </c>
      <c r="C103" s="30">
        <f>IF(($K$7+44)&gt;$L$7,"",B103*(100+22)/100)</f>
        <v/>
      </c>
      <c r="D103" s="31">
        <f>IF(($K$7+44)&gt;$L$7,"",SUMIFS('Данные'!$D:$D,'Данные'!$A:$A,"&gt;="&amp;($K$7+44),'Данные'!$A:$A,"&lt;"&amp;($K$7+44)+1,'Данные'!$B:$B,$B$3))</f>
        <v/>
      </c>
      <c r="E103" s="31">
        <f>IF(($K$7+44)&gt;$L$7,"",SUMIFS('Данные'!$E:$E,'Данные'!$A:$A,"&gt;="&amp;($K$7+44),'Данные'!$A:$A,"&lt;"&amp;($K$7+44)+1,'Данные'!$B:$B,$B$3))</f>
        <v/>
      </c>
      <c r="F103" s="32">
        <f>IF(($K$7+44)&gt;$L$7,"",IFERROR(E103/D103,""))</f>
        <v/>
      </c>
      <c r="G103" s="33">
        <f>IF(($K$7+44)&gt;$L$7,"",IFERROR(B103/E103,""))</f>
        <v/>
      </c>
      <c r="H103" s="31">
        <f>IF(($K$7+44)&gt;$L$7,"",SUMIFS('Данные'!$F:$F,'Данные'!$A:$A,"&gt;="&amp;($K$7+44),'Данные'!$A:$A,"&lt;"&amp;($K$7+44)+1,'Данные'!$B:$B,$B$3))</f>
        <v/>
      </c>
      <c r="I103" s="33">
        <f>IF(($K$7+44)&gt;$L$7,"",IFERROR(B103/H103,""))</f>
        <v/>
      </c>
      <c r="J103" s="34">
        <f>IF(($K$7+44)&gt;$L$7,"",IFERROR(H103/E103,""))</f>
        <v/>
      </c>
    </row>
    <row r="104">
      <c r="A104" s="36">
        <f>IF(($K$7+45)&gt;$L$7,"",TEXT(($K$7+45),"DD.MM")&amp;" "&amp;CHOOSE(WEEKDAY(($K$7+45),2),"пн","вт","ср","чт","пт","сб","вс"))</f>
        <v/>
      </c>
      <c r="B104" s="37">
        <f>IF(($K$7+45)&gt;$L$7,"",SUMIFS('Данные'!$C:$C,'Данные'!$A:$A,"&gt;="&amp;($K$7+45),'Данные'!$A:$A,"&lt;"&amp;($K$7+45)+1,'Данные'!$B:$B,$B$3))</f>
        <v/>
      </c>
      <c r="C104" s="37">
        <f>IF(($K$7+45)&gt;$L$7,"",B104*(100+22)/100)</f>
        <v/>
      </c>
      <c r="D104" s="38">
        <f>IF(($K$7+45)&gt;$L$7,"",SUMIFS('Данные'!$D:$D,'Данные'!$A:$A,"&gt;="&amp;($K$7+45),'Данные'!$A:$A,"&lt;"&amp;($K$7+45)+1,'Данные'!$B:$B,$B$3))</f>
        <v/>
      </c>
      <c r="E104" s="38">
        <f>IF(($K$7+45)&gt;$L$7,"",SUMIFS('Данные'!$E:$E,'Данные'!$A:$A,"&gt;="&amp;($K$7+45),'Данные'!$A:$A,"&lt;"&amp;($K$7+45)+1,'Данные'!$B:$B,$B$3))</f>
        <v/>
      </c>
      <c r="F104" s="39">
        <f>IF(($K$7+45)&gt;$L$7,"",IFERROR(E104/D104,""))</f>
        <v/>
      </c>
      <c r="G104" s="40">
        <f>IF(($K$7+45)&gt;$L$7,"",IFERROR(B104/E104,""))</f>
        <v/>
      </c>
      <c r="H104" s="38">
        <f>IF(($K$7+45)&gt;$L$7,"",SUMIFS('Данные'!$F:$F,'Данные'!$A:$A,"&gt;="&amp;($K$7+45),'Данные'!$A:$A,"&lt;"&amp;($K$7+45)+1,'Данные'!$B:$B,$B$3))</f>
        <v/>
      </c>
      <c r="I104" s="40">
        <f>IF(($K$7+45)&gt;$L$7,"",IFERROR(B104/H104,""))</f>
        <v/>
      </c>
      <c r="J104" s="41">
        <f>IF(($K$7+45)&gt;$L$7,"",IFERROR(H104/E104,""))</f>
        <v/>
      </c>
    </row>
    <row r="105">
      <c r="A105" s="29">
        <f>IF(($K$7+46)&gt;$L$7,"",TEXT(($K$7+46),"DD.MM")&amp;" "&amp;CHOOSE(WEEKDAY(($K$7+46),2),"пн","вт","ср","чт","пт","сб","вс"))</f>
        <v/>
      </c>
      <c r="B105" s="30">
        <f>IF(($K$7+46)&gt;$L$7,"",SUMIFS('Данные'!$C:$C,'Данные'!$A:$A,"&gt;="&amp;($K$7+46),'Данные'!$A:$A,"&lt;"&amp;($K$7+46)+1,'Данные'!$B:$B,$B$3))</f>
        <v/>
      </c>
      <c r="C105" s="30">
        <f>IF(($K$7+46)&gt;$L$7,"",B105*(100+22)/100)</f>
        <v/>
      </c>
      <c r="D105" s="31">
        <f>IF(($K$7+46)&gt;$L$7,"",SUMIFS('Данные'!$D:$D,'Данные'!$A:$A,"&gt;="&amp;($K$7+46),'Данные'!$A:$A,"&lt;"&amp;($K$7+46)+1,'Данные'!$B:$B,$B$3))</f>
        <v/>
      </c>
      <c r="E105" s="31">
        <f>IF(($K$7+46)&gt;$L$7,"",SUMIFS('Данные'!$E:$E,'Данные'!$A:$A,"&gt;="&amp;($K$7+46),'Данные'!$A:$A,"&lt;"&amp;($K$7+46)+1,'Данные'!$B:$B,$B$3))</f>
        <v/>
      </c>
      <c r="F105" s="32">
        <f>IF(($K$7+46)&gt;$L$7,"",IFERROR(E105/D105,""))</f>
        <v/>
      </c>
      <c r="G105" s="33">
        <f>IF(($K$7+46)&gt;$L$7,"",IFERROR(B105/E105,""))</f>
        <v/>
      </c>
      <c r="H105" s="31">
        <f>IF(($K$7+46)&gt;$L$7,"",SUMIFS('Данные'!$F:$F,'Данные'!$A:$A,"&gt;="&amp;($K$7+46),'Данные'!$A:$A,"&lt;"&amp;($K$7+46)+1,'Данные'!$B:$B,$B$3))</f>
        <v/>
      </c>
      <c r="I105" s="33">
        <f>IF(($K$7+46)&gt;$L$7,"",IFERROR(B105/H105,""))</f>
        <v/>
      </c>
      <c r="J105" s="34">
        <f>IF(($K$7+46)&gt;$L$7,"",IFERROR(H105/E105,""))</f>
        <v/>
      </c>
    </row>
    <row r="106">
      <c r="A106" s="36">
        <f>IF(($K$7+47)&gt;$L$7,"",TEXT(($K$7+47),"DD.MM")&amp;" "&amp;CHOOSE(WEEKDAY(($K$7+47),2),"пн","вт","ср","чт","пт","сб","вс"))</f>
        <v/>
      </c>
      <c r="B106" s="37">
        <f>IF(($K$7+47)&gt;$L$7,"",SUMIFS('Данные'!$C:$C,'Данные'!$A:$A,"&gt;="&amp;($K$7+47),'Данные'!$A:$A,"&lt;"&amp;($K$7+47)+1,'Данные'!$B:$B,$B$3))</f>
        <v/>
      </c>
      <c r="C106" s="37">
        <f>IF(($K$7+47)&gt;$L$7,"",B106*(100+22)/100)</f>
        <v/>
      </c>
      <c r="D106" s="38">
        <f>IF(($K$7+47)&gt;$L$7,"",SUMIFS('Данные'!$D:$D,'Данные'!$A:$A,"&gt;="&amp;($K$7+47),'Данные'!$A:$A,"&lt;"&amp;($K$7+47)+1,'Данные'!$B:$B,$B$3))</f>
        <v/>
      </c>
      <c r="E106" s="38">
        <f>IF(($K$7+47)&gt;$L$7,"",SUMIFS('Данные'!$E:$E,'Данные'!$A:$A,"&gt;="&amp;($K$7+47),'Данные'!$A:$A,"&lt;"&amp;($K$7+47)+1,'Данные'!$B:$B,$B$3))</f>
        <v/>
      </c>
      <c r="F106" s="39">
        <f>IF(($K$7+47)&gt;$L$7,"",IFERROR(E106/D106,""))</f>
        <v/>
      </c>
      <c r="G106" s="40">
        <f>IF(($K$7+47)&gt;$L$7,"",IFERROR(B106/E106,""))</f>
        <v/>
      </c>
      <c r="H106" s="38">
        <f>IF(($K$7+47)&gt;$L$7,"",SUMIFS('Данные'!$F:$F,'Данные'!$A:$A,"&gt;="&amp;($K$7+47),'Данные'!$A:$A,"&lt;"&amp;($K$7+47)+1,'Данные'!$B:$B,$B$3))</f>
        <v/>
      </c>
      <c r="I106" s="40">
        <f>IF(($K$7+47)&gt;$L$7,"",IFERROR(B106/H106,""))</f>
        <v/>
      </c>
      <c r="J106" s="41">
        <f>IF(($K$7+47)&gt;$L$7,"",IFERROR(H106/E106,""))</f>
        <v/>
      </c>
    </row>
    <row r="107">
      <c r="A107" s="29">
        <f>IF(($K$7+48)&gt;$L$7,"",TEXT(($K$7+48),"DD.MM")&amp;" "&amp;CHOOSE(WEEKDAY(($K$7+48),2),"пн","вт","ср","чт","пт","сб","вс"))</f>
        <v/>
      </c>
      <c r="B107" s="30">
        <f>IF(($K$7+48)&gt;$L$7,"",SUMIFS('Данные'!$C:$C,'Данные'!$A:$A,"&gt;="&amp;($K$7+48),'Данные'!$A:$A,"&lt;"&amp;($K$7+48)+1,'Данные'!$B:$B,$B$3))</f>
        <v/>
      </c>
      <c r="C107" s="30">
        <f>IF(($K$7+48)&gt;$L$7,"",B107*(100+22)/100)</f>
        <v/>
      </c>
      <c r="D107" s="31">
        <f>IF(($K$7+48)&gt;$L$7,"",SUMIFS('Данные'!$D:$D,'Данные'!$A:$A,"&gt;="&amp;($K$7+48),'Данные'!$A:$A,"&lt;"&amp;($K$7+48)+1,'Данные'!$B:$B,$B$3))</f>
        <v/>
      </c>
      <c r="E107" s="31">
        <f>IF(($K$7+48)&gt;$L$7,"",SUMIFS('Данные'!$E:$E,'Данные'!$A:$A,"&gt;="&amp;($K$7+48),'Данные'!$A:$A,"&lt;"&amp;($K$7+48)+1,'Данные'!$B:$B,$B$3))</f>
        <v/>
      </c>
      <c r="F107" s="32">
        <f>IF(($K$7+48)&gt;$L$7,"",IFERROR(E107/D107,""))</f>
        <v/>
      </c>
      <c r="G107" s="33">
        <f>IF(($K$7+48)&gt;$L$7,"",IFERROR(B107/E107,""))</f>
        <v/>
      </c>
      <c r="H107" s="31">
        <f>IF(($K$7+48)&gt;$L$7,"",SUMIFS('Данные'!$F:$F,'Данные'!$A:$A,"&gt;="&amp;($K$7+48),'Данные'!$A:$A,"&lt;"&amp;($K$7+48)+1,'Данные'!$B:$B,$B$3))</f>
        <v/>
      </c>
      <c r="I107" s="33">
        <f>IF(($K$7+48)&gt;$L$7,"",IFERROR(B107/H107,""))</f>
        <v/>
      </c>
      <c r="J107" s="34">
        <f>IF(($K$7+48)&gt;$L$7,"",IFERROR(H107/E107,""))</f>
        <v/>
      </c>
    </row>
    <row r="108">
      <c r="A108" s="36">
        <f>IF(($K$7+49)&gt;$L$7,"",TEXT(($K$7+49),"DD.MM")&amp;" "&amp;CHOOSE(WEEKDAY(($K$7+49),2),"пн","вт","ср","чт","пт","сб","вс"))</f>
        <v/>
      </c>
      <c r="B108" s="37">
        <f>IF(($K$7+49)&gt;$L$7,"",SUMIFS('Данные'!$C:$C,'Данные'!$A:$A,"&gt;="&amp;($K$7+49),'Данные'!$A:$A,"&lt;"&amp;($K$7+49)+1,'Данные'!$B:$B,$B$3))</f>
        <v/>
      </c>
      <c r="C108" s="37">
        <f>IF(($K$7+49)&gt;$L$7,"",B108*(100+22)/100)</f>
        <v/>
      </c>
      <c r="D108" s="38">
        <f>IF(($K$7+49)&gt;$L$7,"",SUMIFS('Данные'!$D:$D,'Данные'!$A:$A,"&gt;="&amp;($K$7+49),'Данные'!$A:$A,"&lt;"&amp;($K$7+49)+1,'Данные'!$B:$B,$B$3))</f>
        <v/>
      </c>
      <c r="E108" s="38">
        <f>IF(($K$7+49)&gt;$L$7,"",SUMIFS('Данные'!$E:$E,'Данные'!$A:$A,"&gt;="&amp;($K$7+49),'Данные'!$A:$A,"&lt;"&amp;($K$7+49)+1,'Данные'!$B:$B,$B$3))</f>
        <v/>
      </c>
      <c r="F108" s="39">
        <f>IF(($K$7+49)&gt;$L$7,"",IFERROR(E108/D108,""))</f>
        <v/>
      </c>
      <c r="G108" s="40">
        <f>IF(($K$7+49)&gt;$L$7,"",IFERROR(B108/E108,""))</f>
        <v/>
      </c>
      <c r="H108" s="38">
        <f>IF(($K$7+49)&gt;$L$7,"",SUMIFS('Данные'!$F:$F,'Данные'!$A:$A,"&gt;="&amp;($K$7+49),'Данные'!$A:$A,"&lt;"&amp;($K$7+49)+1,'Данные'!$B:$B,$B$3))</f>
        <v/>
      </c>
      <c r="I108" s="40">
        <f>IF(($K$7+49)&gt;$L$7,"",IFERROR(B108/H108,""))</f>
        <v/>
      </c>
      <c r="J108" s="41">
        <f>IF(($K$7+49)&gt;$L$7,"",IFERROR(H108/E108,""))</f>
        <v/>
      </c>
    </row>
    <row r="109">
      <c r="A109" s="29">
        <f>IF(($K$7+50)&gt;$L$7,"",TEXT(($K$7+50),"DD.MM")&amp;" "&amp;CHOOSE(WEEKDAY(($K$7+50),2),"пн","вт","ср","чт","пт","сб","вс"))</f>
        <v/>
      </c>
      <c r="B109" s="30">
        <f>IF(($K$7+50)&gt;$L$7,"",SUMIFS('Данные'!$C:$C,'Данные'!$A:$A,"&gt;="&amp;($K$7+50),'Данные'!$A:$A,"&lt;"&amp;($K$7+50)+1,'Данные'!$B:$B,$B$3))</f>
        <v/>
      </c>
      <c r="C109" s="30">
        <f>IF(($K$7+50)&gt;$L$7,"",B109*(100+22)/100)</f>
        <v/>
      </c>
      <c r="D109" s="31">
        <f>IF(($K$7+50)&gt;$L$7,"",SUMIFS('Данные'!$D:$D,'Данные'!$A:$A,"&gt;="&amp;($K$7+50),'Данные'!$A:$A,"&lt;"&amp;($K$7+50)+1,'Данные'!$B:$B,$B$3))</f>
        <v/>
      </c>
      <c r="E109" s="31">
        <f>IF(($K$7+50)&gt;$L$7,"",SUMIFS('Данные'!$E:$E,'Данные'!$A:$A,"&gt;="&amp;($K$7+50),'Данные'!$A:$A,"&lt;"&amp;($K$7+50)+1,'Данные'!$B:$B,$B$3))</f>
        <v/>
      </c>
      <c r="F109" s="32">
        <f>IF(($K$7+50)&gt;$L$7,"",IFERROR(E109/D109,""))</f>
        <v/>
      </c>
      <c r="G109" s="33">
        <f>IF(($K$7+50)&gt;$L$7,"",IFERROR(B109/E109,""))</f>
        <v/>
      </c>
      <c r="H109" s="31">
        <f>IF(($K$7+50)&gt;$L$7,"",SUMIFS('Данные'!$F:$F,'Данные'!$A:$A,"&gt;="&amp;($K$7+50),'Данные'!$A:$A,"&lt;"&amp;($K$7+50)+1,'Данные'!$B:$B,$B$3))</f>
        <v/>
      </c>
      <c r="I109" s="33">
        <f>IF(($K$7+50)&gt;$L$7,"",IFERROR(B109/H109,""))</f>
        <v/>
      </c>
      <c r="J109" s="34">
        <f>IF(($K$7+50)&gt;$L$7,"",IFERROR(H109/E109,""))</f>
        <v/>
      </c>
    </row>
    <row r="110">
      <c r="A110" s="36">
        <f>IF(($K$7+51)&gt;$L$7,"",TEXT(($K$7+51),"DD.MM")&amp;" "&amp;CHOOSE(WEEKDAY(($K$7+51),2),"пн","вт","ср","чт","пт","сб","вс"))</f>
        <v/>
      </c>
      <c r="B110" s="37">
        <f>IF(($K$7+51)&gt;$L$7,"",SUMIFS('Данные'!$C:$C,'Данные'!$A:$A,"&gt;="&amp;($K$7+51),'Данные'!$A:$A,"&lt;"&amp;($K$7+51)+1,'Данные'!$B:$B,$B$3))</f>
        <v/>
      </c>
      <c r="C110" s="37">
        <f>IF(($K$7+51)&gt;$L$7,"",B110*(100+22)/100)</f>
        <v/>
      </c>
      <c r="D110" s="38">
        <f>IF(($K$7+51)&gt;$L$7,"",SUMIFS('Данные'!$D:$D,'Данные'!$A:$A,"&gt;="&amp;($K$7+51),'Данные'!$A:$A,"&lt;"&amp;($K$7+51)+1,'Данные'!$B:$B,$B$3))</f>
        <v/>
      </c>
      <c r="E110" s="38">
        <f>IF(($K$7+51)&gt;$L$7,"",SUMIFS('Данные'!$E:$E,'Данные'!$A:$A,"&gt;="&amp;($K$7+51),'Данные'!$A:$A,"&lt;"&amp;($K$7+51)+1,'Данные'!$B:$B,$B$3))</f>
        <v/>
      </c>
      <c r="F110" s="39">
        <f>IF(($K$7+51)&gt;$L$7,"",IFERROR(E110/D110,""))</f>
        <v/>
      </c>
      <c r="G110" s="40">
        <f>IF(($K$7+51)&gt;$L$7,"",IFERROR(B110/E110,""))</f>
        <v/>
      </c>
      <c r="H110" s="38">
        <f>IF(($K$7+51)&gt;$L$7,"",SUMIFS('Данные'!$F:$F,'Данные'!$A:$A,"&gt;="&amp;($K$7+51),'Данные'!$A:$A,"&lt;"&amp;($K$7+51)+1,'Данные'!$B:$B,$B$3))</f>
        <v/>
      </c>
      <c r="I110" s="40">
        <f>IF(($K$7+51)&gt;$L$7,"",IFERROR(B110/H110,""))</f>
        <v/>
      </c>
      <c r="J110" s="41">
        <f>IF(($K$7+51)&gt;$L$7,"",IFERROR(H110/E110,""))</f>
        <v/>
      </c>
    </row>
    <row r="111">
      <c r="A111" s="29">
        <f>IF(($K$7+52)&gt;$L$7,"",TEXT(($K$7+52),"DD.MM")&amp;" "&amp;CHOOSE(WEEKDAY(($K$7+52),2),"пн","вт","ср","чт","пт","сб","вс"))</f>
        <v/>
      </c>
      <c r="B111" s="30">
        <f>IF(($K$7+52)&gt;$L$7,"",SUMIFS('Данные'!$C:$C,'Данные'!$A:$A,"&gt;="&amp;($K$7+52),'Данные'!$A:$A,"&lt;"&amp;($K$7+52)+1,'Данные'!$B:$B,$B$3))</f>
        <v/>
      </c>
      <c r="C111" s="30">
        <f>IF(($K$7+52)&gt;$L$7,"",B111*(100+22)/100)</f>
        <v/>
      </c>
      <c r="D111" s="31">
        <f>IF(($K$7+52)&gt;$L$7,"",SUMIFS('Данные'!$D:$D,'Данные'!$A:$A,"&gt;="&amp;($K$7+52),'Данные'!$A:$A,"&lt;"&amp;($K$7+52)+1,'Данные'!$B:$B,$B$3))</f>
        <v/>
      </c>
      <c r="E111" s="31">
        <f>IF(($K$7+52)&gt;$L$7,"",SUMIFS('Данные'!$E:$E,'Данные'!$A:$A,"&gt;="&amp;($K$7+52),'Данные'!$A:$A,"&lt;"&amp;($K$7+52)+1,'Данные'!$B:$B,$B$3))</f>
        <v/>
      </c>
      <c r="F111" s="32">
        <f>IF(($K$7+52)&gt;$L$7,"",IFERROR(E111/D111,""))</f>
        <v/>
      </c>
      <c r="G111" s="33">
        <f>IF(($K$7+52)&gt;$L$7,"",IFERROR(B111/E111,""))</f>
        <v/>
      </c>
      <c r="H111" s="31">
        <f>IF(($K$7+52)&gt;$L$7,"",SUMIFS('Данные'!$F:$F,'Данные'!$A:$A,"&gt;="&amp;($K$7+52),'Данные'!$A:$A,"&lt;"&amp;($K$7+52)+1,'Данные'!$B:$B,$B$3))</f>
        <v/>
      </c>
      <c r="I111" s="33">
        <f>IF(($K$7+52)&gt;$L$7,"",IFERROR(B111/H111,""))</f>
        <v/>
      </c>
      <c r="J111" s="34">
        <f>IF(($K$7+52)&gt;$L$7,"",IFERROR(H111/E111,""))</f>
        <v/>
      </c>
    </row>
    <row r="112">
      <c r="A112" s="36">
        <f>IF(($K$7+53)&gt;$L$7,"",TEXT(($K$7+53),"DD.MM")&amp;" "&amp;CHOOSE(WEEKDAY(($K$7+53),2),"пн","вт","ср","чт","пт","сб","вс"))</f>
        <v/>
      </c>
      <c r="B112" s="37">
        <f>IF(($K$7+53)&gt;$L$7,"",SUMIFS('Данные'!$C:$C,'Данные'!$A:$A,"&gt;="&amp;($K$7+53),'Данные'!$A:$A,"&lt;"&amp;($K$7+53)+1,'Данные'!$B:$B,$B$3))</f>
        <v/>
      </c>
      <c r="C112" s="37">
        <f>IF(($K$7+53)&gt;$L$7,"",B112*(100+22)/100)</f>
        <v/>
      </c>
      <c r="D112" s="38">
        <f>IF(($K$7+53)&gt;$L$7,"",SUMIFS('Данные'!$D:$D,'Данные'!$A:$A,"&gt;="&amp;($K$7+53),'Данные'!$A:$A,"&lt;"&amp;($K$7+53)+1,'Данные'!$B:$B,$B$3))</f>
        <v/>
      </c>
      <c r="E112" s="38">
        <f>IF(($K$7+53)&gt;$L$7,"",SUMIFS('Данные'!$E:$E,'Данные'!$A:$A,"&gt;="&amp;($K$7+53),'Данные'!$A:$A,"&lt;"&amp;($K$7+53)+1,'Данные'!$B:$B,$B$3))</f>
        <v/>
      </c>
      <c r="F112" s="39">
        <f>IF(($K$7+53)&gt;$L$7,"",IFERROR(E112/D112,""))</f>
        <v/>
      </c>
      <c r="G112" s="40">
        <f>IF(($K$7+53)&gt;$L$7,"",IFERROR(B112/E112,""))</f>
        <v/>
      </c>
      <c r="H112" s="38">
        <f>IF(($K$7+53)&gt;$L$7,"",SUMIFS('Данные'!$F:$F,'Данные'!$A:$A,"&gt;="&amp;($K$7+53),'Данные'!$A:$A,"&lt;"&amp;($K$7+53)+1,'Данные'!$B:$B,$B$3))</f>
        <v/>
      </c>
      <c r="I112" s="40">
        <f>IF(($K$7+53)&gt;$L$7,"",IFERROR(B112/H112,""))</f>
        <v/>
      </c>
      <c r="J112" s="41">
        <f>IF(($K$7+53)&gt;$L$7,"",IFERROR(H112/E112,""))</f>
        <v/>
      </c>
    </row>
    <row r="113">
      <c r="A113" s="29">
        <f>IF(($K$7+54)&gt;$L$7,"",TEXT(($K$7+54),"DD.MM")&amp;" "&amp;CHOOSE(WEEKDAY(($K$7+54),2),"пн","вт","ср","чт","пт","сб","вс"))</f>
        <v/>
      </c>
      <c r="B113" s="30">
        <f>IF(($K$7+54)&gt;$L$7,"",SUMIFS('Данные'!$C:$C,'Данные'!$A:$A,"&gt;="&amp;($K$7+54),'Данные'!$A:$A,"&lt;"&amp;($K$7+54)+1,'Данные'!$B:$B,$B$3))</f>
        <v/>
      </c>
      <c r="C113" s="30">
        <f>IF(($K$7+54)&gt;$L$7,"",B113*(100+22)/100)</f>
        <v/>
      </c>
      <c r="D113" s="31">
        <f>IF(($K$7+54)&gt;$L$7,"",SUMIFS('Данные'!$D:$D,'Данные'!$A:$A,"&gt;="&amp;($K$7+54),'Данные'!$A:$A,"&lt;"&amp;($K$7+54)+1,'Данные'!$B:$B,$B$3))</f>
        <v/>
      </c>
      <c r="E113" s="31">
        <f>IF(($K$7+54)&gt;$L$7,"",SUMIFS('Данные'!$E:$E,'Данные'!$A:$A,"&gt;="&amp;($K$7+54),'Данные'!$A:$A,"&lt;"&amp;($K$7+54)+1,'Данные'!$B:$B,$B$3))</f>
        <v/>
      </c>
      <c r="F113" s="32">
        <f>IF(($K$7+54)&gt;$L$7,"",IFERROR(E113/D113,""))</f>
        <v/>
      </c>
      <c r="G113" s="33">
        <f>IF(($K$7+54)&gt;$L$7,"",IFERROR(B113/E113,""))</f>
        <v/>
      </c>
      <c r="H113" s="31">
        <f>IF(($K$7+54)&gt;$L$7,"",SUMIFS('Данные'!$F:$F,'Данные'!$A:$A,"&gt;="&amp;($K$7+54),'Данные'!$A:$A,"&lt;"&amp;($K$7+54)+1,'Данные'!$B:$B,$B$3))</f>
        <v/>
      </c>
      <c r="I113" s="33">
        <f>IF(($K$7+54)&gt;$L$7,"",IFERROR(B113/H113,""))</f>
        <v/>
      </c>
      <c r="J113" s="34">
        <f>IF(($K$7+54)&gt;$L$7,"",IFERROR(H113/E113,""))</f>
        <v/>
      </c>
    </row>
    <row r="114">
      <c r="A114" s="36">
        <f>IF(($K$7+55)&gt;$L$7,"",TEXT(($K$7+55),"DD.MM")&amp;" "&amp;CHOOSE(WEEKDAY(($K$7+55),2),"пн","вт","ср","чт","пт","сб","вс"))</f>
        <v/>
      </c>
      <c r="B114" s="37">
        <f>IF(($K$7+55)&gt;$L$7,"",SUMIFS('Данные'!$C:$C,'Данные'!$A:$A,"&gt;="&amp;($K$7+55),'Данные'!$A:$A,"&lt;"&amp;($K$7+55)+1,'Данные'!$B:$B,$B$3))</f>
        <v/>
      </c>
      <c r="C114" s="37">
        <f>IF(($K$7+55)&gt;$L$7,"",B114*(100+22)/100)</f>
        <v/>
      </c>
      <c r="D114" s="38">
        <f>IF(($K$7+55)&gt;$L$7,"",SUMIFS('Данные'!$D:$D,'Данные'!$A:$A,"&gt;="&amp;($K$7+55),'Данные'!$A:$A,"&lt;"&amp;($K$7+55)+1,'Данные'!$B:$B,$B$3))</f>
        <v/>
      </c>
      <c r="E114" s="38">
        <f>IF(($K$7+55)&gt;$L$7,"",SUMIFS('Данные'!$E:$E,'Данные'!$A:$A,"&gt;="&amp;($K$7+55),'Данные'!$A:$A,"&lt;"&amp;($K$7+55)+1,'Данные'!$B:$B,$B$3))</f>
        <v/>
      </c>
      <c r="F114" s="39">
        <f>IF(($K$7+55)&gt;$L$7,"",IFERROR(E114/D114,""))</f>
        <v/>
      </c>
      <c r="G114" s="40">
        <f>IF(($K$7+55)&gt;$L$7,"",IFERROR(B114/E114,""))</f>
        <v/>
      </c>
      <c r="H114" s="38">
        <f>IF(($K$7+55)&gt;$L$7,"",SUMIFS('Данные'!$F:$F,'Данные'!$A:$A,"&gt;="&amp;($K$7+55),'Данные'!$A:$A,"&lt;"&amp;($K$7+55)+1,'Данные'!$B:$B,$B$3))</f>
        <v/>
      </c>
      <c r="I114" s="40">
        <f>IF(($K$7+55)&gt;$L$7,"",IFERROR(B114/H114,""))</f>
        <v/>
      </c>
      <c r="J114" s="41">
        <f>IF(($K$7+55)&gt;$L$7,"",IFERROR(H114/E114,""))</f>
        <v/>
      </c>
    </row>
    <row r="115">
      <c r="A115" s="29">
        <f>IF(($K$7+56)&gt;$L$7,"",TEXT(($K$7+56),"DD.MM")&amp;" "&amp;CHOOSE(WEEKDAY(($K$7+56),2),"пн","вт","ср","чт","пт","сб","вс"))</f>
        <v/>
      </c>
      <c r="B115" s="30">
        <f>IF(($K$7+56)&gt;$L$7,"",SUMIFS('Данные'!$C:$C,'Данные'!$A:$A,"&gt;="&amp;($K$7+56),'Данные'!$A:$A,"&lt;"&amp;($K$7+56)+1,'Данные'!$B:$B,$B$3))</f>
        <v/>
      </c>
      <c r="C115" s="30">
        <f>IF(($K$7+56)&gt;$L$7,"",B115*(100+22)/100)</f>
        <v/>
      </c>
      <c r="D115" s="31">
        <f>IF(($K$7+56)&gt;$L$7,"",SUMIFS('Данные'!$D:$D,'Данные'!$A:$A,"&gt;="&amp;($K$7+56),'Данные'!$A:$A,"&lt;"&amp;($K$7+56)+1,'Данные'!$B:$B,$B$3))</f>
        <v/>
      </c>
      <c r="E115" s="31">
        <f>IF(($K$7+56)&gt;$L$7,"",SUMIFS('Данные'!$E:$E,'Данные'!$A:$A,"&gt;="&amp;($K$7+56),'Данные'!$A:$A,"&lt;"&amp;($K$7+56)+1,'Данные'!$B:$B,$B$3))</f>
        <v/>
      </c>
      <c r="F115" s="32">
        <f>IF(($K$7+56)&gt;$L$7,"",IFERROR(E115/D115,""))</f>
        <v/>
      </c>
      <c r="G115" s="33">
        <f>IF(($K$7+56)&gt;$L$7,"",IFERROR(B115/E115,""))</f>
        <v/>
      </c>
      <c r="H115" s="31">
        <f>IF(($K$7+56)&gt;$L$7,"",SUMIFS('Данные'!$F:$F,'Данные'!$A:$A,"&gt;="&amp;($K$7+56),'Данные'!$A:$A,"&lt;"&amp;($K$7+56)+1,'Данные'!$B:$B,$B$3))</f>
        <v/>
      </c>
      <c r="I115" s="33">
        <f>IF(($K$7+56)&gt;$L$7,"",IFERROR(B115/H115,""))</f>
        <v/>
      </c>
      <c r="J115" s="34">
        <f>IF(($K$7+56)&gt;$L$7,"",IFERROR(H115/E115,""))</f>
        <v/>
      </c>
    </row>
    <row r="116">
      <c r="A116" s="36">
        <f>IF(($K$7+57)&gt;$L$7,"",TEXT(($K$7+57),"DD.MM")&amp;" "&amp;CHOOSE(WEEKDAY(($K$7+57),2),"пн","вт","ср","чт","пт","сб","вс"))</f>
        <v/>
      </c>
      <c r="B116" s="37">
        <f>IF(($K$7+57)&gt;$L$7,"",SUMIFS('Данные'!$C:$C,'Данные'!$A:$A,"&gt;="&amp;($K$7+57),'Данные'!$A:$A,"&lt;"&amp;($K$7+57)+1,'Данные'!$B:$B,$B$3))</f>
        <v/>
      </c>
      <c r="C116" s="37">
        <f>IF(($K$7+57)&gt;$L$7,"",B116*(100+22)/100)</f>
        <v/>
      </c>
      <c r="D116" s="38">
        <f>IF(($K$7+57)&gt;$L$7,"",SUMIFS('Данные'!$D:$D,'Данные'!$A:$A,"&gt;="&amp;($K$7+57),'Данные'!$A:$A,"&lt;"&amp;($K$7+57)+1,'Данные'!$B:$B,$B$3))</f>
        <v/>
      </c>
      <c r="E116" s="38">
        <f>IF(($K$7+57)&gt;$L$7,"",SUMIFS('Данные'!$E:$E,'Данные'!$A:$A,"&gt;="&amp;($K$7+57),'Данные'!$A:$A,"&lt;"&amp;($K$7+57)+1,'Данные'!$B:$B,$B$3))</f>
        <v/>
      </c>
      <c r="F116" s="39">
        <f>IF(($K$7+57)&gt;$L$7,"",IFERROR(E116/D116,""))</f>
        <v/>
      </c>
      <c r="G116" s="40">
        <f>IF(($K$7+57)&gt;$L$7,"",IFERROR(B116/E116,""))</f>
        <v/>
      </c>
      <c r="H116" s="38">
        <f>IF(($K$7+57)&gt;$L$7,"",SUMIFS('Данные'!$F:$F,'Данные'!$A:$A,"&gt;="&amp;($K$7+57),'Данные'!$A:$A,"&lt;"&amp;($K$7+57)+1,'Данные'!$B:$B,$B$3))</f>
        <v/>
      </c>
      <c r="I116" s="40">
        <f>IF(($K$7+57)&gt;$L$7,"",IFERROR(B116/H116,""))</f>
        <v/>
      </c>
      <c r="J116" s="41">
        <f>IF(($K$7+57)&gt;$L$7,"",IFERROR(H116/E116,""))</f>
        <v/>
      </c>
    </row>
    <row r="117">
      <c r="A117" s="29">
        <f>IF(($K$7+58)&gt;$L$7,"",TEXT(($K$7+58),"DD.MM")&amp;" "&amp;CHOOSE(WEEKDAY(($K$7+58),2),"пн","вт","ср","чт","пт","сб","вс"))</f>
        <v/>
      </c>
      <c r="B117" s="30">
        <f>IF(($K$7+58)&gt;$L$7,"",SUMIFS('Данные'!$C:$C,'Данные'!$A:$A,"&gt;="&amp;($K$7+58),'Данные'!$A:$A,"&lt;"&amp;($K$7+58)+1,'Данные'!$B:$B,$B$3))</f>
        <v/>
      </c>
      <c r="C117" s="30">
        <f>IF(($K$7+58)&gt;$L$7,"",B117*(100+22)/100)</f>
        <v/>
      </c>
      <c r="D117" s="31">
        <f>IF(($K$7+58)&gt;$L$7,"",SUMIFS('Данные'!$D:$D,'Данные'!$A:$A,"&gt;="&amp;($K$7+58),'Данные'!$A:$A,"&lt;"&amp;($K$7+58)+1,'Данные'!$B:$B,$B$3))</f>
        <v/>
      </c>
      <c r="E117" s="31">
        <f>IF(($K$7+58)&gt;$L$7,"",SUMIFS('Данные'!$E:$E,'Данные'!$A:$A,"&gt;="&amp;($K$7+58),'Данные'!$A:$A,"&lt;"&amp;($K$7+58)+1,'Данные'!$B:$B,$B$3))</f>
        <v/>
      </c>
      <c r="F117" s="32">
        <f>IF(($K$7+58)&gt;$L$7,"",IFERROR(E117/D117,""))</f>
        <v/>
      </c>
      <c r="G117" s="33">
        <f>IF(($K$7+58)&gt;$L$7,"",IFERROR(B117/E117,""))</f>
        <v/>
      </c>
      <c r="H117" s="31">
        <f>IF(($K$7+58)&gt;$L$7,"",SUMIFS('Данные'!$F:$F,'Данные'!$A:$A,"&gt;="&amp;($K$7+58),'Данные'!$A:$A,"&lt;"&amp;($K$7+58)+1,'Данные'!$B:$B,$B$3))</f>
        <v/>
      </c>
      <c r="I117" s="33">
        <f>IF(($K$7+58)&gt;$L$7,"",IFERROR(B117/H117,""))</f>
        <v/>
      </c>
      <c r="J117" s="34">
        <f>IF(($K$7+58)&gt;$L$7,"",IFERROR(H117/E117,""))</f>
        <v/>
      </c>
    </row>
    <row r="118">
      <c r="A118" s="36">
        <f>IF(($K$7+59)&gt;$L$7,"",TEXT(($K$7+59),"DD.MM")&amp;" "&amp;CHOOSE(WEEKDAY(($K$7+59),2),"пн","вт","ср","чт","пт","сб","вс"))</f>
        <v/>
      </c>
      <c r="B118" s="37">
        <f>IF(($K$7+59)&gt;$L$7,"",SUMIFS('Данные'!$C:$C,'Данные'!$A:$A,"&gt;="&amp;($K$7+59),'Данные'!$A:$A,"&lt;"&amp;($K$7+59)+1,'Данные'!$B:$B,$B$3))</f>
        <v/>
      </c>
      <c r="C118" s="37">
        <f>IF(($K$7+59)&gt;$L$7,"",B118*(100+22)/100)</f>
        <v/>
      </c>
      <c r="D118" s="38">
        <f>IF(($K$7+59)&gt;$L$7,"",SUMIFS('Данные'!$D:$D,'Данные'!$A:$A,"&gt;="&amp;($K$7+59),'Данные'!$A:$A,"&lt;"&amp;($K$7+59)+1,'Данные'!$B:$B,$B$3))</f>
        <v/>
      </c>
      <c r="E118" s="38">
        <f>IF(($K$7+59)&gt;$L$7,"",SUMIFS('Данные'!$E:$E,'Данные'!$A:$A,"&gt;="&amp;($K$7+59),'Данные'!$A:$A,"&lt;"&amp;($K$7+59)+1,'Данные'!$B:$B,$B$3))</f>
        <v/>
      </c>
      <c r="F118" s="39">
        <f>IF(($K$7+59)&gt;$L$7,"",IFERROR(E118/D118,""))</f>
        <v/>
      </c>
      <c r="G118" s="40">
        <f>IF(($K$7+59)&gt;$L$7,"",IFERROR(B118/E118,""))</f>
        <v/>
      </c>
      <c r="H118" s="38">
        <f>IF(($K$7+59)&gt;$L$7,"",SUMIFS('Данные'!$F:$F,'Данные'!$A:$A,"&gt;="&amp;($K$7+59),'Данные'!$A:$A,"&lt;"&amp;($K$7+59)+1,'Данные'!$B:$B,$B$3))</f>
        <v/>
      </c>
      <c r="I118" s="40">
        <f>IF(($K$7+59)&gt;$L$7,"",IFERROR(B118/H118,""))</f>
        <v/>
      </c>
      <c r="J118" s="41">
        <f>IF(($K$7+59)&gt;$L$7,"",IFERROR(H118/E118,""))</f>
        <v/>
      </c>
    </row>
    <row r="119">
      <c r="A119" s="29">
        <f>IF(($K$7+60)&gt;$L$7,"",TEXT(($K$7+60),"DD.MM")&amp;" "&amp;CHOOSE(WEEKDAY(($K$7+60),2),"пн","вт","ср","чт","пт","сб","вс"))</f>
        <v/>
      </c>
      <c r="B119" s="30">
        <f>IF(($K$7+60)&gt;$L$7,"",SUMIFS('Данные'!$C:$C,'Данные'!$A:$A,"&gt;="&amp;($K$7+60),'Данные'!$A:$A,"&lt;"&amp;($K$7+60)+1,'Данные'!$B:$B,$B$3))</f>
        <v/>
      </c>
      <c r="C119" s="30">
        <f>IF(($K$7+60)&gt;$L$7,"",B119*(100+22)/100)</f>
        <v/>
      </c>
      <c r="D119" s="31">
        <f>IF(($K$7+60)&gt;$L$7,"",SUMIFS('Данные'!$D:$D,'Данные'!$A:$A,"&gt;="&amp;($K$7+60),'Данные'!$A:$A,"&lt;"&amp;($K$7+60)+1,'Данные'!$B:$B,$B$3))</f>
        <v/>
      </c>
      <c r="E119" s="31">
        <f>IF(($K$7+60)&gt;$L$7,"",SUMIFS('Данные'!$E:$E,'Данные'!$A:$A,"&gt;="&amp;($K$7+60),'Данные'!$A:$A,"&lt;"&amp;($K$7+60)+1,'Данные'!$B:$B,$B$3))</f>
        <v/>
      </c>
      <c r="F119" s="32">
        <f>IF(($K$7+60)&gt;$L$7,"",IFERROR(E119/D119,""))</f>
        <v/>
      </c>
      <c r="G119" s="33">
        <f>IF(($K$7+60)&gt;$L$7,"",IFERROR(B119/E119,""))</f>
        <v/>
      </c>
      <c r="H119" s="31">
        <f>IF(($K$7+60)&gt;$L$7,"",SUMIFS('Данные'!$F:$F,'Данные'!$A:$A,"&gt;="&amp;($K$7+60),'Данные'!$A:$A,"&lt;"&amp;($K$7+60)+1,'Данные'!$B:$B,$B$3))</f>
        <v/>
      </c>
      <c r="I119" s="33">
        <f>IF(($K$7+60)&gt;$L$7,"",IFERROR(B119/H119,""))</f>
        <v/>
      </c>
      <c r="J119" s="34">
        <f>IF(($K$7+60)&gt;$L$7,"",IFERROR(H119/E119,""))</f>
        <v/>
      </c>
    </row>
    <row r="120">
      <c r="A120" s="36">
        <f>IF(($K$7+61)&gt;$L$7,"",TEXT(($K$7+61),"DD.MM")&amp;" "&amp;CHOOSE(WEEKDAY(($K$7+61),2),"пн","вт","ср","чт","пт","сб","вс"))</f>
        <v/>
      </c>
      <c r="B120" s="37">
        <f>IF(($K$7+61)&gt;$L$7,"",SUMIFS('Данные'!$C:$C,'Данные'!$A:$A,"&gt;="&amp;($K$7+61),'Данные'!$A:$A,"&lt;"&amp;($K$7+61)+1,'Данные'!$B:$B,$B$3))</f>
        <v/>
      </c>
      <c r="C120" s="37">
        <f>IF(($K$7+61)&gt;$L$7,"",B120*(100+22)/100)</f>
        <v/>
      </c>
      <c r="D120" s="38">
        <f>IF(($K$7+61)&gt;$L$7,"",SUMIFS('Данные'!$D:$D,'Данные'!$A:$A,"&gt;="&amp;($K$7+61),'Данные'!$A:$A,"&lt;"&amp;($K$7+61)+1,'Данные'!$B:$B,$B$3))</f>
        <v/>
      </c>
      <c r="E120" s="38">
        <f>IF(($K$7+61)&gt;$L$7,"",SUMIFS('Данные'!$E:$E,'Данные'!$A:$A,"&gt;="&amp;($K$7+61),'Данные'!$A:$A,"&lt;"&amp;($K$7+61)+1,'Данные'!$B:$B,$B$3))</f>
        <v/>
      </c>
      <c r="F120" s="39">
        <f>IF(($K$7+61)&gt;$L$7,"",IFERROR(E120/D120,""))</f>
        <v/>
      </c>
      <c r="G120" s="40">
        <f>IF(($K$7+61)&gt;$L$7,"",IFERROR(B120/E120,""))</f>
        <v/>
      </c>
      <c r="H120" s="38">
        <f>IF(($K$7+61)&gt;$L$7,"",SUMIFS('Данные'!$F:$F,'Данные'!$A:$A,"&gt;="&amp;($K$7+61),'Данные'!$A:$A,"&lt;"&amp;($K$7+61)+1,'Данные'!$B:$B,$B$3))</f>
        <v/>
      </c>
      <c r="I120" s="40">
        <f>IF(($K$7+61)&gt;$L$7,"",IFERROR(B120/H120,""))</f>
        <v/>
      </c>
      <c r="J120" s="41">
        <f>IF(($K$7+61)&gt;$L$7,"",IFERROR(H120/E120,""))</f>
        <v/>
      </c>
    </row>
    <row r="121">
      <c r="A121" s="29">
        <f>IF(($K$7+62)&gt;$L$7,"",TEXT(($K$7+62),"DD.MM")&amp;" "&amp;CHOOSE(WEEKDAY(($K$7+62),2),"пн","вт","ср","чт","пт","сб","вс"))</f>
        <v/>
      </c>
      <c r="B121" s="30">
        <f>IF(($K$7+62)&gt;$L$7,"",SUMIFS('Данные'!$C:$C,'Данные'!$A:$A,"&gt;="&amp;($K$7+62),'Данные'!$A:$A,"&lt;"&amp;($K$7+62)+1,'Данные'!$B:$B,$B$3))</f>
        <v/>
      </c>
      <c r="C121" s="30">
        <f>IF(($K$7+62)&gt;$L$7,"",B121*(100+22)/100)</f>
        <v/>
      </c>
      <c r="D121" s="31">
        <f>IF(($K$7+62)&gt;$L$7,"",SUMIFS('Данные'!$D:$D,'Данные'!$A:$A,"&gt;="&amp;($K$7+62),'Данные'!$A:$A,"&lt;"&amp;($K$7+62)+1,'Данные'!$B:$B,$B$3))</f>
        <v/>
      </c>
      <c r="E121" s="31">
        <f>IF(($K$7+62)&gt;$L$7,"",SUMIFS('Данные'!$E:$E,'Данные'!$A:$A,"&gt;="&amp;($K$7+62),'Данные'!$A:$A,"&lt;"&amp;($K$7+62)+1,'Данные'!$B:$B,$B$3))</f>
        <v/>
      </c>
      <c r="F121" s="32">
        <f>IF(($K$7+62)&gt;$L$7,"",IFERROR(E121/D121,""))</f>
        <v/>
      </c>
      <c r="G121" s="33">
        <f>IF(($K$7+62)&gt;$L$7,"",IFERROR(B121/E121,""))</f>
        <v/>
      </c>
      <c r="H121" s="31">
        <f>IF(($K$7+62)&gt;$L$7,"",SUMIFS('Данные'!$F:$F,'Данные'!$A:$A,"&gt;="&amp;($K$7+62),'Данные'!$A:$A,"&lt;"&amp;($K$7+62)+1,'Данные'!$B:$B,$B$3))</f>
        <v/>
      </c>
      <c r="I121" s="33">
        <f>IF(($K$7+62)&gt;$L$7,"",IFERROR(B121/H121,""))</f>
        <v/>
      </c>
      <c r="J121" s="34">
        <f>IF(($K$7+62)&gt;$L$7,"",IFERROR(H121/E121,""))</f>
        <v/>
      </c>
    </row>
    <row r="122">
      <c r="A122" s="36">
        <f>IF(($K$7+63)&gt;$L$7,"",TEXT(($K$7+63),"DD.MM")&amp;" "&amp;CHOOSE(WEEKDAY(($K$7+63),2),"пн","вт","ср","чт","пт","сб","вс"))</f>
        <v/>
      </c>
      <c r="B122" s="37">
        <f>IF(($K$7+63)&gt;$L$7,"",SUMIFS('Данные'!$C:$C,'Данные'!$A:$A,"&gt;="&amp;($K$7+63),'Данные'!$A:$A,"&lt;"&amp;($K$7+63)+1,'Данные'!$B:$B,$B$3))</f>
        <v/>
      </c>
      <c r="C122" s="37">
        <f>IF(($K$7+63)&gt;$L$7,"",B122*(100+22)/100)</f>
        <v/>
      </c>
      <c r="D122" s="38">
        <f>IF(($K$7+63)&gt;$L$7,"",SUMIFS('Данные'!$D:$D,'Данные'!$A:$A,"&gt;="&amp;($K$7+63),'Данные'!$A:$A,"&lt;"&amp;($K$7+63)+1,'Данные'!$B:$B,$B$3))</f>
        <v/>
      </c>
      <c r="E122" s="38">
        <f>IF(($K$7+63)&gt;$L$7,"",SUMIFS('Данные'!$E:$E,'Данные'!$A:$A,"&gt;="&amp;($K$7+63),'Данные'!$A:$A,"&lt;"&amp;($K$7+63)+1,'Данные'!$B:$B,$B$3))</f>
        <v/>
      </c>
      <c r="F122" s="39">
        <f>IF(($K$7+63)&gt;$L$7,"",IFERROR(E122/D122,""))</f>
        <v/>
      </c>
      <c r="G122" s="40">
        <f>IF(($K$7+63)&gt;$L$7,"",IFERROR(B122/E122,""))</f>
        <v/>
      </c>
      <c r="H122" s="38">
        <f>IF(($K$7+63)&gt;$L$7,"",SUMIFS('Данные'!$F:$F,'Данные'!$A:$A,"&gt;="&amp;($K$7+63),'Данные'!$A:$A,"&lt;"&amp;($K$7+63)+1,'Данные'!$B:$B,$B$3))</f>
        <v/>
      </c>
      <c r="I122" s="40">
        <f>IF(($K$7+63)&gt;$L$7,"",IFERROR(B122/H122,""))</f>
        <v/>
      </c>
      <c r="J122" s="41">
        <f>IF(($K$7+63)&gt;$L$7,"",IFERROR(H122/E122,""))</f>
        <v/>
      </c>
    </row>
    <row r="123">
      <c r="A123" s="29">
        <f>IF(($K$7+64)&gt;$L$7,"",TEXT(($K$7+64),"DD.MM")&amp;" "&amp;CHOOSE(WEEKDAY(($K$7+64),2),"пн","вт","ср","чт","пт","сб","вс"))</f>
        <v/>
      </c>
      <c r="B123" s="30">
        <f>IF(($K$7+64)&gt;$L$7,"",SUMIFS('Данные'!$C:$C,'Данные'!$A:$A,"&gt;="&amp;($K$7+64),'Данные'!$A:$A,"&lt;"&amp;($K$7+64)+1,'Данные'!$B:$B,$B$3))</f>
        <v/>
      </c>
      <c r="C123" s="30">
        <f>IF(($K$7+64)&gt;$L$7,"",B123*(100+22)/100)</f>
        <v/>
      </c>
      <c r="D123" s="31">
        <f>IF(($K$7+64)&gt;$L$7,"",SUMIFS('Данные'!$D:$D,'Данные'!$A:$A,"&gt;="&amp;($K$7+64),'Данные'!$A:$A,"&lt;"&amp;($K$7+64)+1,'Данные'!$B:$B,$B$3))</f>
        <v/>
      </c>
      <c r="E123" s="31">
        <f>IF(($K$7+64)&gt;$L$7,"",SUMIFS('Данные'!$E:$E,'Данные'!$A:$A,"&gt;="&amp;($K$7+64),'Данные'!$A:$A,"&lt;"&amp;($K$7+64)+1,'Данные'!$B:$B,$B$3))</f>
        <v/>
      </c>
      <c r="F123" s="32">
        <f>IF(($K$7+64)&gt;$L$7,"",IFERROR(E123/D123,""))</f>
        <v/>
      </c>
      <c r="G123" s="33">
        <f>IF(($K$7+64)&gt;$L$7,"",IFERROR(B123/E123,""))</f>
        <v/>
      </c>
      <c r="H123" s="31">
        <f>IF(($K$7+64)&gt;$L$7,"",SUMIFS('Данные'!$F:$F,'Данные'!$A:$A,"&gt;="&amp;($K$7+64),'Данные'!$A:$A,"&lt;"&amp;($K$7+64)+1,'Данные'!$B:$B,$B$3))</f>
        <v/>
      </c>
      <c r="I123" s="33">
        <f>IF(($K$7+64)&gt;$L$7,"",IFERROR(B123/H123,""))</f>
        <v/>
      </c>
      <c r="J123" s="34">
        <f>IF(($K$7+64)&gt;$L$7,"",IFERROR(H123/E123,""))</f>
        <v/>
      </c>
    </row>
    <row r="124">
      <c r="A124" s="36">
        <f>IF(($K$7+65)&gt;$L$7,"",TEXT(($K$7+65),"DD.MM")&amp;" "&amp;CHOOSE(WEEKDAY(($K$7+65),2),"пн","вт","ср","чт","пт","сб","вс"))</f>
        <v/>
      </c>
      <c r="B124" s="37">
        <f>IF(($K$7+65)&gt;$L$7,"",SUMIFS('Данные'!$C:$C,'Данные'!$A:$A,"&gt;="&amp;($K$7+65),'Данные'!$A:$A,"&lt;"&amp;($K$7+65)+1,'Данные'!$B:$B,$B$3))</f>
        <v/>
      </c>
      <c r="C124" s="37">
        <f>IF(($K$7+65)&gt;$L$7,"",B124*(100+22)/100)</f>
        <v/>
      </c>
      <c r="D124" s="38">
        <f>IF(($K$7+65)&gt;$L$7,"",SUMIFS('Данные'!$D:$D,'Данные'!$A:$A,"&gt;="&amp;($K$7+65),'Данные'!$A:$A,"&lt;"&amp;($K$7+65)+1,'Данные'!$B:$B,$B$3))</f>
        <v/>
      </c>
      <c r="E124" s="38">
        <f>IF(($K$7+65)&gt;$L$7,"",SUMIFS('Данные'!$E:$E,'Данные'!$A:$A,"&gt;="&amp;($K$7+65),'Данные'!$A:$A,"&lt;"&amp;($K$7+65)+1,'Данные'!$B:$B,$B$3))</f>
        <v/>
      </c>
      <c r="F124" s="39">
        <f>IF(($K$7+65)&gt;$L$7,"",IFERROR(E124/D124,""))</f>
        <v/>
      </c>
      <c r="G124" s="40">
        <f>IF(($K$7+65)&gt;$L$7,"",IFERROR(B124/E124,""))</f>
        <v/>
      </c>
      <c r="H124" s="38">
        <f>IF(($K$7+65)&gt;$L$7,"",SUMIFS('Данные'!$F:$F,'Данные'!$A:$A,"&gt;="&amp;($K$7+65),'Данные'!$A:$A,"&lt;"&amp;($K$7+65)+1,'Данные'!$B:$B,$B$3))</f>
        <v/>
      </c>
      <c r="I124" s="40">
        <f>IF(($K$7+65)&gt;$L$7,"",IFERROR(B124/H124,""))</f>
        <v/>
      </c>
      <c r="J124" s="41">
        <f>IF(($K$7+65)&gt;$L$7,"",IFERROR(H124/E124,""))</f>
        <v/>
      </c>
    </row>
    <row r="125">
      <c r="A125" s="29">
        <f>IF(($K$7+66)&gt;$L$7,"",TEXT(($K$7+66),"DD.MM")&amp;" "&amp;CHOOSE(WEEKDAY(($K$7+66),2),"пн","вт","ср","чт","пт","сб","вс"))</f>
        <v/>
      </c>
      <c r="B125" s="30">
        <f>IF(($K$7+66)&gt;$L$7,"",SUMIFS('Данные'!$C:$C,'Данные'!$A:$A,"&gt;="&amp;($K$7+66),'Данные'!$A:$A,"&lt;"&amp;($K$7+66)+1,'Данные'!$B:$B,$B$3))</f>
        <v/>
      </c>
      <c r="C125" s="30">
        <f>IF(($K$7+66)&gt;$L$7,"",B125*(100+22)/100)</f>
        <v/>
      </c>
      <c r="D125" s="31">
        <f>IF(($K$7+66)&gt;$L$7,"",SUMIFS('Данные'!$D:$D,'Данные'!$A:$A,"&gt;="&amp;($K$7+66),'Данные'!$A:$A,"&lt;"&amp;($K$7+66)+1,'Данные'!$B:$B,$B$3))</f>
        <v/>
      </c>
      <c r="E125" s="31">
        <f>IF(($K$7+66)&gt;$L$7,"",SUMIFS('Данные'!$E:$E,'Данные'!$A:$A,"&gt;="&amp;($K$7+66),'Данные'!$A:$A,"&lt;"&amp;($K$7+66)+1,'Данные'!$B:$B,$B$3))</f>
        <v/>
      </c>
      <c r="F125" s="32">
        <f>IF(($K$7+66)&gt;$L$7,"",IFERROR(E125/D125,""))</f>
        <v/>
      </c>
      <c r="G125" s="33">
        <f>IF(($K$7+66)&gt;$L$7,"",IFERROR(B125/E125,""))</f>
        <v/>
      </c>
      <c r="H125" s="31">
        <f>IF(($K$7+66)&gt;$L$7,"",SUMIFS('Данные'!$F:$F,'Данные'!$A:$A,"&gt;="&amp;($K$7+66),'Данные'!$A:$A,"&lt;"&amp;($K$7+66)+1,'Данные'!$B:$B,$B$3))</f>
        <v/>
      </c>
      <c r="I125" s="33">
        <f>IF(($K$7+66)&gt;$L$7,"",IFERROR(B125/H125,""))</f>
        <v/>
      </c>
      <c r="J125" s="34">
        <f>IF(($K$7+66)&gt;$L$7,"",IFERROR(H125/E125,""))</f>
        <v/>
      </c>
    </row>
    <row r="126">
      <c r="A126" s="36">
        <f>IF(($K$7+67)&gt;$L$7,"",TEXT(($K$7+67),"DD.MM")&amp;" "&amp;CHOOSE(WEEKDAY(($K$7+67),2),"пн","вт","ср","чт","пт","сб","вс"))</f>
        <v/>
      </c>
      <c r="B126" s="37">
        <f>IF(($K$7+67)&gt;$L$7,"",SUMIFS('Данные'!$C:$C,'Данные'!$A:$A,"&gt;="&amp;($K$7+67),'Данные'!$A:$A,"&lt;"&amp;($K$7+67)+1,'Данные'!$B:$B,$B$3))</f>
        <v/>
      </c>
      <c r="C126" s="37">
        <f>IF(($K$7+67)&gt;$L$7,"",B126*(100+22)/100)</f>
        <v/>
      </c>
      <c r="D126" s="38">
        <f>IF(($K$7+67)&gt;$L$7,"",SUMIFS('Данные'!$D:$D,'Данные'!$A:$A,"&gt;="&amp;($K$7+67),'Данные'!$A:$A,"&lt;"&amp;($K$7+67)+1,'Данные'!$B:$B,$B$3))</f>
        <v/>
      </c>
      <c r="E126" s="38">
        <f>IF(($K$7+67)&gt;$L$7,"",SUMIFS('Данные'!$E:$E,'Данные'!$A:$A,"&gt;="&amp;($K$7+67),'Данные'!$A:$A,"&lt;"&amp;($K$7+67)+1,'Данные'!$B:$B,$B$3))</f>
        <v/>
      </c>
      <c r="F126" s="39">
        <f>IF(($K$7+67)&gt;$L$7,"",IFERROR(E126/D126,""))</f>
        <v/>
      </c>
      <c r="G126" s="40">
        <f>IF(($K$7+67)&gt;$L$7,"",IFERROR(B126/E126,""))</f>
        <v/>
      </c>
      <c r="H126" s="38">
        <f>IF(($K$7+67)&gt;$L$7,"",SUMIFS('Данные'!$F:$F,'Данные'!$A:$A,"&gt;="&amp;($K$7+67),'Данные'!$A:$A,"&lt;"&amp;($K$7+67)+1,'Данные'!$B:$B,$B$3))</f>
        <v/>
      </c>
      <c r="I126" s="40">
        <f>IF(($K$7+67)&gt;$L$7,"",IFERROR(B126/H126,""))</f>
        <v/>
      </c>
      <c r="J126" s="41">
        <f>IF(($K$7+67)&gt;$L$7,"",IFERROR(H126/E126,""))</f>
        <v/>
      </c>
    </row>
    <row r="127">
      <c r="A127" s="29">
        <f>IF(($K$7+68)&gt;$L$7,"",TEXT(($K$7+68),"DD.MM")&amp;" "&amp;CHOOSE(WEEKDAY(($K$7+68),2),"пн","вт","ср","чт","пт","сб","вс"))</f>
        <v/>
      </c>
      <c r="B127" s="30">
        <f>IF(($K$7+68)&gt;$L$7,"",SUMIFS('Данные'!$C:$C,'Данные'!$A:$A,"&gt;="&amp;($K$7+68),'Данные'!$A:$A,"&lt;"&amp;($K$7+68)+1,'Данные'!$B:$B,$B$3))</f>
        <v/>
      </c>
      <c r="C127" s="30">
        <f>IF(($K$7+68)&gt;$L$7,"",B127*(100+22)/100)</f>
        <v/>
      </c>
      <c r="D127" s="31">
        <f>IF(($K$7+68)&gt;$L$7,"",SUMIFS('Данные'!$D:$D,'Данные'!$A:$A,"&gt;="&amp;($K$7+68),'Данные'!$A:$A,"&lt;"&amp;($K$7+68)+1,'Данные'!$B:$B,$B$3))</f>
        <v/>
      </c>
      <c r="E127" s="31">
        <f>IF(($K$7+68)&gt;$L$7,"",SUMIFS('Данные'!$E:$E,'Данные'!$A:$A,"&gt;="&amp;($K$7+68),'Данные'!$A:$A,"&lt;"&amp;($K$7+68)+1,'Данные'!$B:$B,$B$3))</f>
        <v/>
      </c>
      <c r="F127" s="32">
        <f>IF(($K$7+68)&gt;$L$7,"",IFERROR(E127/D127,""))</f>
        <v/>
      </c>
      <c r="G127" s="33">
        <f>IF(($K$7+68)&gt;$L$7,"",IFERROR(B127/E127,""))</f>
        <v/>
      </c>
      <c r="H127" s="31">
        <f>IF(($K$7+68)&gt;$L$7,"",SUMIFS('Данные'!$F:$F,'Данные'!$A:$A,"&gt;="&amp;($K$7+68),'Данные'!$A:$A,"&lt;"&amp;($K$7+68)+1,'Данные'!$B:$B,$B$3))</f>
        <v/>
      </c>
      <c r="I127" s="33">
        <f>IF(($K$7+68)&gt;$L$7,"",IFERROR(B127/H127,""))</f>
        <v/>
      </c>
      <c r="J127" s="34">
        <f>IF(($K$7+68)&gt;$L$7,"",IFERROR(H127/E127,""))</f>
        <v/>
      </c>
    </row>
    <row r="128">
      <c r="A128" s="36">
        <f>IF(($K$7+69)&gt;$L$7,"",TEXT(($K$7+69),"DD.MM")&amp;" "&amp;CHOOSE(WEEKDAY(($K$7+69),2),"пн","вт","ср","чт","пт","сб","вс"))</f>
        <v/>
      </c>
      <c r="B128" s="37">
        <f>IF(($K$7+69)&gt;$L$7,"",SUMIFS('Данные'!$C:$C,'Данные'!$A:$A,"&gt;="&amp;($K$7+69),'Данные'!$A:$A,"&lt;"&amp;($K$7+69)+1,'Данные'!$B:$B,$B$3))</f>
        <v/>
      </c>
      <c r="C128" s="37">
        <f>IF(($K$7+69)&gt;$L$7,"",B128*(100+22)/100)</f>
        <v/>
      </c>
      <c r="D128" s="38">
        <f>IF(($K$7+69)&gt;$L$7,"",SUMIFS('Данные'!$D:$D,'Данные'!$A:$A,"&gt;="&amp;($K$7+69),'Данные'!$A:$A,"&lt;"&amp;($K$7+69)+1,'Данные'!$B:$B,$B$3))</f>
        <v/>
      </c>
      <c r="E128" s="38">
        <f>IF(($K$7+69)&gt;$L$7,"",SUMIFS('Данные'!$E:$E,'Данные'!$A:$A,"&gt;="&amp;($K$7+69),'Данные'!$A:$A,"&lt;"&amp;($K$7+69)+1,'Данные'!$B:$B,$B$3))</f>
        <v/>
      </c>
      <c r="F128" s="39">
        <f>IF(($K$7+69)&gt;$L$7,"",IFERROR(E128/D128,""))</f>
        <v/>
      </c>
      <c r="G128" s="40">
        <f>IF(($K$7+69)&gt;$L$7,"",IFERROR(B128/E128,""))</f>
        <v/>
      </c>
      <c r="H128" s="38">
        <f>IF(($K$7+69)&gt;$L$7,"",SUMIFS('Данные'!$F:$F,'Данные'!$A:$A,"&gt;="&amp;($K$7+69),'Данные'!$A:$A,"&lt;"&amp;($K$7+69)+1,'Данные'!$B:$B,$B$3))</f>
        <v/>
      </c>
      <c r="I128" s="40">
        <f>IF(($K$7+69)&gt;$L$7,"",IFERROR(B128/H128,""))</f>
        <v/>
      </c>
      <c r="J128" s="41">
        <f>IF(($K$7+69)&gt;$L$7,"",IFERROR(H128/E128,""))</f>
        <v/>
      </c>
    </row>
    <row r="129">
      <c r="A129" s="29">
        <f>IF(($K$7+70)&gt;$L$7,"",TEXT(($K$7+70),"DD.MM")&amp;" "&amp;CHOOSE(WEEKDAY(($K$7+70),2),"пн","вт","ср","чт","пт","сб","вс"))</f>
        <v/>
      </c>
      <c r="B129" s="30">
        <f>IF(($K$7+70)&gt;$L$7,"",SUMIFS('Данные'!$C:$C,'Данные'!$A:$A,"&gt;="&amp;($K$7+70),'Данные'!$A:$A,"&lt;"&amp;($K$7+70)+1,'Данные'!$B:$B,$B$3))</f>
        <v/>
      </c>
      <c r="C129" s="30">
        <f>IF(($K$7+70)&gt;$L$7,"",B129*(100+22)/100)</f>
        <v/>
      </c>
      <c r="D129" s="31">
        <f>IF(($K$7+70)&gt;$L$7,"",SUMIFS('Данные'!$D:$D,'Данные'!$A:$A,"&gt;="&amp;($K$7+70),'Данные'!$A:$A,"&lt;"&amp;($K$7+70)+1,'Данные'!$B:$B,$B$3))</f>
        <v/>
      </c>
      <c r="E129" s="31">
        <f>IF(($K$7+70)&gt;$L$7,"",SUMIFS('Данные'!$E:$E,'Данные'!$A:$A,"&gt;="&amp;($K$7+70),'Данные'!$A:$A,"&lt;"&amp;($K$7+70)+1,'Данные'!$B:$B,$B$3))</f>
        <v/>
      </c>
      <c r="F129" s="32">
        <f>IF(($K$7+70)&gt;$L$7,"",IFERROR(E129/D129,""))</f>
        <v/>
      </c>
      <c r="G129" s="33">
        <f>IF(($K$7+70)&gt;$L$7,"",IFERROR(B129/E129,""))</f>
        <v/>
      </c>
      <c r="H129" s="31">
        <f>IF(($K$7+70)&gt;$L$7,"",SUMIFS('Данные'!$F:$F,'Данные'!$A:$A,"&gt;="&amp;($K$7+70),'Данные'!$A:$A,"&lt;"&amp;($K$7+70)+1,'Данные'!$B:$B,$B$3))</f>
        <v/>
      </c>
      <c r="I129" s="33">
        <f>IF(($K$7+70)&gt;$L$7,"",IFERROR(B129/H129,""))</f>
        <v/>
      </c>
      <c r="J129" s="34">
        <f>IF(($K$7+70)&gt;$L$7,"",IFERROR(H129/E129,""))</f>
        <v/>
      </c>
    </row>
    <row r="130">
      <c r="A130" s="36">
        <f>IF(($K$7+71)&gt;$L$7,"",TEXT(($K$7+71),"DD.MM")&amp;" "&amp;CHOOSE(WEEKDAY(($K$7+71),2),"пн","вт","ср","чт","пт","сб","вс"))</f>
        <v/>
      </c>
      <c r="B130" s="37">
        <f>IF(($K$7+71)&gt;$L$7,"",SUMIFS('Данные'!$C:$C,'Данные'!$A:$A,"&gt;="&amp;($K$7+71),'Данные'!$A:$A,"&lt;"&amp;($K$7+71)+1,'Данные'!$B:$B,$B$3))</f>
        <v/>
      </c>
      <c r="C130" s="37">
        <f>IF(($K$7+71)&gt;$L$7,"",B130*(100+22)/100)</f>
        <v/>
      </c>
      <c r="D130" s="38">
        <f>IF(($K$7+71)&gt;$L$7,"",SUMIFS('Данные'!$D:$D,'Данные'!$A:$A,"&gt;="&amp;($K$7+71),'Данные'!$A:$A,"&lt;"&amp;($K$7+71)+1,'Данные'!$B:$B,$B$3))</f>
        <v/>
      </c>
      <c r="E130" s="38">
        <f>IF(($K$7+71)&gt;$L$7,"",SUMIFS('Данные'!$E:$E,'Данные'!$A:$A,"&gt;="&amp;($K$7+71),'Данные'!$A:$A,"&lt;"&amp;($K$7+71)+1,'Данные'!$B:$B,$B$3))</f>
        <v/>
      </c>
      <c r="F130" s="39">
        <f>IF(($K$7+71)&gt;$L$7,"",IFERROR(E130/D130,""))</f>
        <v/>
      </c>
      <c r="G130" s="40">
        <f>IF(($K$7+71)&gt;$L$7,"",IFERROR(B130/E130,""))</f>
        <v/>
      </c>
      <c r="H130" s="38">
        <f>IF(($K$7+71)&gt;$L$7,"",SUMIFS('Данные'!$F:$F,'Данные'!$A:$A,"&gt;="&amp;($K$7+71),'Данные'!$A:$A,"&lt;"&amp;($K$7+71)+1,'Данные'!$B:$B,$B$3))</f>
        <v/>
      </c>
      <c r="I130" s="40">
        <f>IF(($K$7+71)&gt;$L$7,"",IFERROR(B130/H130,""))</f>
        <v/>
      </c>
      <c r="J130" s="41">
        <f>IF(($K$7+71)&gt;$L$7,"",IFERROR(H130/E130,""))</f>
        <v/>
      </c>
    </row>
    <row r="131">
      <c r="A131" s="29">
        <f>IF(($K$7+72)&gt;$L$7,"",TEXT(($K$7+72),"DD.MM")&amp;" "&amp;CHOOSE(WEEKDAY(($K$7+72),2),"пн","вт","ср","чт","пт","сб","вс"))</f>
        <v/>
      </c>
      <c r="B131" s="30">
        <f>IF(($K$7+72)&gt;$L$7,"",SUMIFS('Данные'!$C:$C,'Данные'!$A:$A,"&gt;="&amp;($K$7+72),'Данные'!$A:$A,"&lt;"&amp;($K$7+72)+1,'Данные'!$B:$B,$B$3))</f>
        <v/>
      </c>
      <c r="C131" s="30">
        <f>IF(($K$7+72)&gt;$L$7,"",B131*(100+22)/100)</f>
        <v/>
      </c>
      <c r="D131" s="31">
        <f>IF(($K$7+72)&gt;$L$7,"",SUMIFS('Данные'!$D:$D,'Данные'!$A:$A,"&gt;="&amp;($K$7+72),'Данные'!$A:$A,"&lt;"&amp;($K$7+72)+1,'Данные'!$B:$B,$B$3))</f>
        <v/>
      </c>
      <c r="E131" s="31">
        <f>IF(($K$7+72)&gt;$L$7,"",SUMIFS('Данные'!$E:$E,'Данные'!$A:$A,"&gt;="&amp;($K$7+72),'Данные'!$A:$A,"&lt;"&amp;($K$7+72)+1,'Данные'!$B:$B,$B$3))</f>
        <v/>
      </c>
      <c r="F131" s="32">
        <f>IF(($K$7+72)&gt;$L$7,"",IFERROR(E131/D131,""))</f>
        <v/>
      </c>
      <c r="G131" s="33">
        <f>IF(($K$7+72)&gt;$L$7,"",IFERROR(B131/E131,""))</f>
        <v/>
      </c>
      <c r="H131" s="31">
        <f>IF(($K$7+72)&gt;$L$7,"",SUMIFS('Данные'!$F:$F,'Данные'!$A:$A,"&gt;="&amp;($K$7+72),'Данные'!$A:$A,"&lt;"&amp;($K$7+72)+1,'Данные'!$B:$B,$B$3))</f>
        <v/>
      </c>
      <c r="I131" s="33">
        <f>IF(($K$7+72)&gt;$L$7,"",IFERROR(B131/H131,""))</f>
        <v/>
      </c>
      <c r="J131" s="34">
        <f>IF(($K$7+72)&gt;$L$7,"",IFERROR(H131/E131,""))</f>
        <v/>
      </c>
    </row>
    <row r="132">
      <c r="A132" s="36">
        <f>IF(($K$7+73)&gt;$L$7,"",TEXT(($K$7+73),"DD.MM")&amp;" "&amp;CHOOSE(WEEKDAY(($K$7+73),2),"пн","вт","ср","чт","пт","сб","вс"))</f>
        <v/>
      </c>
      <c r="B132" s="37">
        <f>IF(($K$7+73)&gt;$L$7,"",SUMIFS('Данные'!$C:$C,'Данные'!$A:$A,"&gt;="&amp;($K$7+73),'Данные'!$A:$A,"&lt;"&amp;($K$7+73)+1,'Данные'!$B:$B,$B$3))</f>
        <v/>
      </c>
      <c r="C132" s="37">
        <f>IF(($K$7+73)&gt;$L$7,"",B132*(100+22)/100)</f>
        <v/>
      </c>
      <c r="D132" s="38">
        <f>IF(($K$7+73)&gt;$L$7,"",SUMIFS('Данные'!$D:$D,'Данные'!$A:$A,"&gt;="&amp;($K$7+73),'Данные'!$A:$A,"&lt;"&amp;($K$7+73)+1,'Данные'!$B:$B,$B$3))</f>
        <v/>
      </c>
      <c r="E132" s="38">
        <f>IF(($K$7+73)&gt;$L$7,"",SUMIFS('Данные'!$E:$E,'Данные'!$A:$A,"&gt;="&amp;($K$7+73),'Данные'!$A:$A,"&lt;"&amp;($K$7+73)+1,'Данные'!$B:$B,$B$3))</f>
        <v/>
      </c>
      <c r="F132" s="39">
        <f>IF(($K$7+73)&gt;$L$7,"",IFERROR(E132/D132,""))</f>
        <v/>
      </c>
      <c r="G132" s="40">
        <f>IF(($K$7+73)&gt;$L$7,"",IFERROR(B132/E132,""))</f>
        <v/>
      </c>
      <c r="H132" s="38">
        <f>IF(($K$7+73)&gt;$L$7,"",SUMIFS('Данные'!$F:$F,'Данные'!$A:$A,"&gt;="&amp;($K$7+73),'Данные'!$A:$A,"&lt;"&amp;($K$7+73)+1,'Данные'!$B:$B,$B$3))</f>
        <v/>
      </c>
      <c r="I132" s="40">
        <f>IF(($K$7+73)&gt;$L$7,"",IFERROR(B132/H132,""))</f>
        <v/>
      </c>
      <c r="J132" s="41">
        <f>IF(($K$7+73)&gt;$L$7,"",IFERROR(H132/E132,""))</f>
        <v/>
      </c>
    </row>
    <row r="133">
      <c r="A133" s="29">
        <f>IF(($K$7+74)&gt;$L$7,"",TEXT(($K$7+74),"DD.MM")&amp;" "&amp;CHOOSE(WEEKDAY(($K$7+74),2),"пн","вт","ср","чт","пт","сб","вс"))</f>
        <v/>
      </c>
      <c r="B133" s="30">
        <f>IF(($K$7+74)&gt;$L$7,"",SUMIFS('Данные'!$C:$C,'Данные'!$A:$A,"&gt;="&amp;($K$7+74),'Данные'!$A:$A,"&lt;"&amp;($K$7+74)+1,'Данные'!$B:$B,$B$3))</f>
        <v/>
      </c>
      <c r="C133" s="30">
        <f>IF(($K$7+74)&gt;$L$7,"",B133*(100+22)/100)</f>
        <v/>
      </c>
      <c r="D133" s="31">
        <f>IF(($K$7+74)&gt;$L$7,"",SUMIFS('Данные'!$D:$D,'Данные'!$A:$A,"&gt;="&amp;($K$7+74),'Данные'!$A:$A,"&lt;"&amp;($K$7+74)+1,'Данные'!$B:$B,$B$3))</f>
        <v/>
      </c>
      <c r="E133" s="31">
        <f>IF(($K$7+74)&gt;$L$7,"",SUMIFS('Данные'!$E:$E,'Данные'!$A:$A,"&gt;="&amp;($K$7+74),'Данные'!$A:$A,"&lt;"&amp;($K$7+74)+1,'Данные'!$B:$B,$B$3))</f>
        <v/>
      </c>
      <c r="F133" s="32">
        <f>IF(($K$7+74)&gt;$L$7,"",IFERROR(E133/D133,""))</f>
        <v/>
      </c>
      <c r="G133" s="33">
        <f>IF(($K$7+74)&gt;$L$7,"",IFERROR(B133/E133,""))</f>
        <v/>
      </c>
      <c r="H133" s="31">
        <f>IF(($K$7+74)&gt;$L$7,"",SUMIFS('Данные'!$F:$F,'Данные'!$A:$A,"&gt;="&amp;($K$7+74),'Данные'!$A:$A,"&lt;"&amp;($K$7+74)+1,'Данные'!$B:$B,$B$3))</f>
        <v/>
      </c>
      <c r="I133" s="33">
        <f>IF(($K$7+74)&gt;$L$7,"",IFERROR(B133/H133,""))</f>
        <v/>
      </c>
      <c r="J133" s="34">
        <f>IF(($K$7+74)&gt;$L$7,"",IFERROR(H133/E133,""))</f>
        <v/>
      </c>
    </row>
    <row r="134">
      <c r="A134" s="36">
        <f>IF(($K$7+75)&gt;$L$7,"",TEXT(($K$7+75),"DD.MM")&amp;" "&amp;CHOOSE(WEEKDAY(($K$7+75),2),"пн","вт","ср","чт","пт","сб","вс"))</f>
        <v/>
      </c>
      <c r="B134" s="37">
        <f>IF(($K$7+75)&gt;$L$7,"",SUMIFS('Данные'!$C:$C,'Данные'!$A:$A,"&gt;="&amp;($K$7+75),'Данные'!$A:$A,"&lt;"&amp;($K$7+75)+1,'Данные'!$B:$B,$B$3))</f>
        <v/>
      </c>
      <c r="C134" s="37">
        <f>IF(($K$7+75)&gt;$L$7,"",B134*(100+22)/100)</f>
        <v/>
      </c>
      <c r="D134" s="38">
        <f>IF(($K$7+75)&gt;$L$7,"",SUMIFS('Данные'!$D:$D,'Данные'!$A:$A,"&gt;="&amp;($K$7+75),'Данные'!$A:$A,"&lt;"&amp;($K$7+75)+1,'Данные'!$B:$B,$B$3))</f>
        <v/>
      </c>
      <c r="E134" s="38">
        <f>IF(($K$7+75)&gt;$L$7,"",SUMIFS('Данные'!$E:$E,'Данные'!$A:$A,"&gt;="&amp;($K$7+75),'Данные'!$A:$A,"&lt;"&amp;($K$7+75)+1,'Данные'!$B:$B,$B$3))</f>
        <v/>
      </c>
      <c r="F134" s="39">
        <f>IF(($K$7+75)&gt;$L$7,"",IFERROR(E134/D134,""))</f>
        <v/>
      </c>
      <c r="G134" s="40">
        <f>IF(($K$7+75)&gt;$L$7,"",IFERROR(B134/E134,""))</f>
        <v/>
      </c>
      <c r="H134" s="38">
        <f>IF(($K$7+75)&gt;$L$7,"",SUMIFS('Данные'!$F:$F,'Данные'!$A:$A,"&gt;="&amp;($K$7+75),'Данные'!$A:$A,"&lt;"&amp;($K$7+75)+1,'Данные'!$B:$B,$B$3))</f>
        <v/>
      </c>
      <c r="I134" s="40">
        <f>IF(($K$7+75)&gt;$L$7,"",IFERROR(B134/H134,""))</f>
        <v/>
      </c>
      <c r="J134" s="41">
        <f>IF(($K$7+75)&gt;$L$7,"",IFERROR(H134/E134,""))</f>
        <v/>
      </c>
    </row>
    <row r="135">
      <c r="A135" s="29">
        <f>IF(($K$7+76)&gt;$L$7,"",TEXT(($K$7+76),"DD.MM")&amp;" "&amp;CHOOSE(WEEKDAY(($K$7+76),2),"пн","вт","ср","чт","пт","сб","вс"))</f>
        <v/>
      </c>
      <c r="B135" s="30">
        <f>IF(($K$7+76)&gt;$L$7,"",SUMIFS('Данные'!$C:$C,'Данные'!$A:$A,"&gt;="&amp;($K$7+76),'Данные'!$A:$A,"&lt;"&amp;($K$7+76)+1,'Данные'!$B:$B,$B$3))</f>
        <v/>
      </c>
      <c r="C135" s="30">
        <f>IF(($K$7+76)&gt;$L$7,"",B135*(100+22)/100)</f>
        <v/>
      </c>
      <c r="D135" s="31">
        <f>IF(($K$7+76)&gt;$L$7,"",SUMIFS('Данные'!$D:$D,'Данные'!$A:$A,"&gt;="&amp;($K$7+76),'Данные'!$A:$A,"&lt;"&amp;($K$7+76)+1,'Данные'!$B:$B,$B$3))</f>
        <v/>
      </c>
      <c r="E135" s="31">
        <f>IF(($K$7+76)&gt;$L$7,"",SUMIFS('Данные'!$E:$E,'Данные'!$A:$A,"&gt;="&amp;($K$7+76),'Данные'!$A:$A,"&lt;"&amp;($K$7+76)+1,'Данные'!$B:$B,$B$3))</f>
        <v/>
      </c>
      <c r="F135" s="32">
        <f>IF(($K$7+76)&gt;$L$7,"",IFERROR(E135/D135,""))</f>
        <v/>
      </c>
      <c r="G135" s="33">
        <f>IF(($K$7+76)&gt;$L$7,"",IFERROR(B135/E135,""))</f>
        <v/>
      </c>
      <c r="H135" s="31">
        <f>IF(($K$7+76)&gt;$L$7,"",SUMIFS('Данные'!$F:$F,'Данные'!$A:$A,"&gt;="&amp;($K$7+76),'Данные'!$A:$A,"&lt;"&amp;($K$7+76)+1,'Данные'!$B:$B,$B$3))</f>
        <v/>
      </c>
      <c r="I135" s="33">
        <f>IF(($K$7+76)&gt;$L$7,"",IFERROR(B135/H135,""))</f>
        <v/>
      </c>
      <c r="J135" s="34">
        <f>IF(($K$7+76)&gt;$L$7,"",IFERROR(H135/E135,""))</f>
        <v/>
      </c>
    </row>
    <row r="136">
      <c r="A136" s="36">
        <f>IF(($K$7+77)&gt;$L$7,"",TEXT(($K$7+77),"DD.MM")&amp;" "&amp;CHOOSE(WEEKDAY(($K$7+77),2),"пн","вт","ср","чт","пт","сб","вс"))</f>
        <v/>
      </c>
      <c r="B136" s="37">
        <f>IF(($K$7+77)&gt;$L$7,"",SUMIFS('Данные'!$C:$C,'Данные'!$A:$A,"&gt;="&amp;($K$7+77),'Данные'!$A:$A,"&lt;"&amp;($K$7+77)+1,'Данные'!$B:$B,$B$3))</f>
        <v/>
      </c>
      <c r="C136" s="37">
        <f>IF(($K$7+77)&gt;$L$7,"",B136*(100+22)/100)</f>
        <v/>
      </c>
      <c r="D136" s="38">
        <f>IF(($K$7+77)&gt;$L$7,"",SUMIFS('Данные'!$D:$D,'Данные'!$A:$A,"&gt;="&amp;($K$7+77),'Данные'!$A:$A,"&lt;"&amp;($K$7+77)+1,'Данные'!$B:$B,$B$3))</f>
        <v/>
      </c>
      <c r="E136" s="38">
        <f>IF(($K$7+77)&gt;$L$7,"",SUMIFS('Данные'!$E:$E,'Данные'!$A:$A,"&gt;="&amp;($K$7+77),'Данные'!$A:$A,"&lt;"&amp;($K$7+77)+1,'Данные'!$B:$B,$B$3))</f>
        <v/>
      </c>
      <c r="F136" s="39">
        <f>IF(($K$7+77)&gt;$L$7,"",IFERROR(E136/D136,""))</f>
        <v/>
      </c>
      <c r="G136" s="40">
        <f>IF(($K$7+77)&gt;$L$7,"",IFERROR(B136/E136,""))</f>
        <v/>
      </c>
      <c r="H136" s="38">
        <f>IF(($K$7+77)&gt;$L$7,"",SUMIFS('Данные'!$F:$F,'Данные'!$A:$A,"&gt;="&amp;($K$7+77),'Данные'!$A:$A,"&lt;"&amp;($K$7+77)+1,'Данные'!$B:$B,$B$3))</f>
        <v/>
      </c>
      <c r="I136" s="40">
        <f>IF(($K$7+77)&gt;$L$7,"",IFERROR(B136/H136,""))</f>
        <v/>
      </c>
      <c r="J136" s="41">
        <f>IF(($K$7+77)&gt;$L$7,"",IFERROR(H136/E136,""))</f>
        <v/>
      </c>
    </row>
    <row r="137">
      <c r="A137" s="29">
        <f>IF(($K$7+78)&gt;$L$7,"",TEXT(($K$7+78),"DD.MM")&amp;" "&amp;CHOOSE(WEEKDAY(($K$7+78),2),"пн","вт","ср","чт","пт","сб","вс"))</f>
        <v/>
      </c>
      <c r="B137" s="30">
        <f>IF(($K$7+78)&gt;$L$7,"",SUMIFS('Данные'!$C:$C,'Данные'!$A:$A,"&gt;="&amp;($K$7+78),'Данные'!$A:$A,"&lt;"&amp;($K$7+78)+1,'Данные'!$B:$B,$B$3))</f>
        <v/>
      </c>
      <c r="C137" s="30">
        <f>IF(($K$7+78)&gt;$L$7,"",B137*(100+22)/100)</f>
        <v/>
      </c>
      <c r="D137" s="31">
        <f>IF(($K$7+78)&gt;$L$7,"",SUMIFS('Данные'!$D:$D,'Данные'!$A:$A,"&gt;="&amp;($K$7+78),'Данные'!$A:$A,"&lt;"&amp;($K$7+78)+1,'Данные'!$B:$B,$B$3))</f>
        <v/>
      </c>
      <c r="E137" s="31">
        <f>IF(($K$7+78)&gt;$L$7,"",SUMIFS('Данные'!$E:$E,'Данные'!$A:$A,"&gt;="&amp;($K$7+78),'Данные'!$A:$A,"&lt;"&amp;($K$7+78)+1,'Данные'!$B:$B,$B$3))</f>
        <v/>
      </c>
      <c r="F137" s="32">
        <f>IF(($K$7+78)&gt;$L$7,"",IFERROR(E137/D137,""))</f>
        <v/>
      </c>
      <c r="G137" s="33">
        <f>IF(($K$7+78)&gt;$L$7,"",IFERROR(B137/E137,""))</f>
        <v/>
      </c>
      <c r="H137" s="31">
        <f>IF(($K$7+78)&gt;$L$7,"",SUMIFS('Данные'!$F:$F,'Данные'!$A:$A,"&gt;="&amp;($K$7+78),'Данные'!$A:$A,"&lt;"&amp;($K$7+78)+1,'Данные'!$B:$B,$B$3))</f>
        <v/>
      </c>
      <c r="I137" s="33">
        <f>IF(($K$7+78)&gt;$L$7,"",IFERROR(B137/H137,""))</f>
        <v/>
      </c>
      <c r="J137" s="34">
        <f>IF(($K$7+78)&gt;$L$7,"",IFERROR(H137/E137,""))</f>
        <v/>
      </c>
    </row>
    <row r="138">
      <c r="A138" s="36">
        <f>IF(($K$7+79)&gt;$L$7,"",TEXT(($K$7+79),"DD.MM")&amp;" "&amp;CHOOSE(WEEKDAY(($K$7+79),2),"пн","вт","ср","чт","пт","сб","вс"))</f>
        <v/>
      </c>
      <c r="B138" s="37">
        <f>IF(($K$7+79)&gt;$L$7,"",SUMIFS('Данные'!$C:$C,'Данные'!$A:$A,"&gt;="&amp;($K$7+79),'Данные'!$A:$A,"&lt;"&amp;($K$7+79)+1,'Данные'!$B:$B,$B$3))</f>
        <v/>
      </c>
      <c r="C138" s="37">
        <f>IF(($K$7+79)&gt;$L$7,"",B138*(100+22)/100)</f>
        <v/>
      </c>
      <c r="D138" s="38">
        <f>IF(($K$7+79)&gt;$L$7,"",SUMIFS('Данные'!$D:$D,'Данные'!$A:$A,"&gt;="&amp;($K$7+79),'Данные'!$A:$A,"&lt;"&amp;($K$7+79)+1,'Данные'!$B:$B,$B$3))</f>
        <v/>
      </c>
      <c r="E138" s="38">
        <f>IF(($K$7+79)&gt;$L$7,"",SUMIFS('Данные'!$E:$E,'Данные'!$A:$A,"&gt;="&amp;($K$7+79),'Данные'!$A:$A,"&lt;"&amp;($K$7+79)+1,'Данные'!$B:$B,$B$3))</f>
        <v/>
      </c>
      <c r="F138" s="39">
        <f>IF(($K$7+79)&gt;$L$7,"",IFERROR(E138/D138,""))</f>
        <v/>
      </c>
      <c r="G138" s="40">
        <f>IF(($K$7+79)&gt;$L$7,"",IFERROR(B138/E138,""))</f>
        <v/>
      </c>
      <c r="H138" s="38">
        <f>IF(($K$7+79)&gt;$L$7,"",SUMIFS('Данные'!$F:$F,'Данные'!$A:$A,"&gt;="&amp;($K$7+79),'Данные'!$A:$A,"&lt;"&amp;($K$7+79)+1,'Данные'!$B:$B,$B$3))</f>
        <v/>
      </c>
      <c r="I138" s="40">
        <f>IF(($K$7+79)&gt;$L$7,"",IFERROR(B138/H138,""))</f>
        <v/>
      </c>
      <c r="J138" s="41">
        <f>IF(($K$7+79)&gt;$L$7,"",IFERROR(H138/E138,""))</f>
        <v/>
      </c>
    </row>
    <row r="139">
      <c r="A139" s="29">
        <f>IF(($K$7+80)&gt;$L$7,"",TEXT(($K$7+80),"DD.MM")&amp;" "&amp;CHOOSE(WEEKDAY(($K$7+80),2),"пн","вт","ср","чт","пт","сб","вс"))</f>
        <v/>
      </c>
      <c r="B139" s="30">
        <f>IF(($K$7+80)&gt;$L$7,"",SUMIFS('Данные'!$C:$C,'Данные'!$A:$A,"&gt;="&amp;($K$7+80),'Данные'!$A:$A,"&lt;"&amp;($K$7+80)+1,'Данные'!$B:$B,$B$3))</f>
        <v/>
      </c>
      <c r="C139" s="30">
        <f>IF(($K$7+80)&gt;$L$7,"",B139*(100+22)/100)</f>
        <v/>
      </c>
      <c r="D139" s="31">
        <f>IF(($K$7+80)&gt;$L$7,"",SUMIFS('Данные'!$D:$D,'Данные'!$A:$A,"&gt;="&amp;($K$7+80),'Данные'!$A:$A,"&lt;"&amp;($K$7+80)+1,'Данные'!$B:$B,$B$3))</f>
        <v/>
      </c>
      <c r="E139" s="31">
        <f>IF(($K$7+80)&gt;$L$7,"",SUMIFS('Данные'!$E:$E,'Данные'!$A:$A,"&gt;="&amp;($K$7+80),'Данные'!$A:$A,"&lt;"&amp;($K$7+80)+1,'Данные'!$B:$B,$B$3))</f>
        <v/>
      </c>
      <c r="F139" s="32">
        <f>IF(($K$7+80)&gt;$L$7,"",IFERROR(E139/D139,""))</f>
        <v/>
      </c>
      <c r="G139" s="33">
        <f>IF(($K$7+80)&gt;$L$7,"",IFERROR(B139/E139,""))</f>
        <v/>
      </c>
      <c r="H139" s="31">
        <f>IF(($K$7+80)&gt;$L$7,"",SUMIFS('Данные'!$F:$F,'Данные'!$A:$A,"&gt;="&amp;($K$7+80),'Данные'!$A:$A,"&lt;"&amp;($K$7+80)+1,'Данные'!$B:$B,$B$3))</f>
        <v/>
      </c>
      <c r="I139" s="33">
        <f>IF(($K$7+80)&gt;$L$7,"",IFERROR(B139/H139,""))</f>
        <v/>
      </c>
      <c r="J139" s="34">
        <f>IF(($K$7+80)&gt;$L$7,"",IFERROR(H139/E139,""))</f>
        <v/>
      </c>
    </row>
    <row r="140">
      <c r="A140" s="36">
        <f>IF(($K$7+81)&gt;$L$7,"",TEXT(($K$7+81),"DD.MM")&amp;" "&amp;CHOOSE(WEEKDAY(($K$7+81),2),"пн","вт","ср","чт","пт","сб","вс"))</f>
        <v/>
      </c>
      <c r="B140" s="37">
        <f>IF(($K$7+81)&gt;$L$7,"",SUMIFS('Данные'!$C:$C,'Данные'!$A:$A,"&gt;="&amp;($K$7+81),'Данные'!$A:$A,"&lt;"&amp;($K$7+81)+1,'Данные'!$B:$B,$B$3))</f>
        <v/>
      </c>
      <c r="C140" s="37">
        <f>IF(($K$7+81)&gt;$L$7,"",B140*(100+22)/100)</f>
        <v/>
      </c>
      <c r="D140" s="38">
        <f>IF(($K$7+81)&gt;$L$7,"",SUMIFS('Данные'!$D:$D,'Данные'!$A:$A,"&gt;="&amp;($K$7+81),'Данные'!$A:$A,"&lt;"&amp;($K$7+81)+1,'Данные'!$B:$B,$B$3))</f>
        <v/>
      </c>
      <c r="E140" s="38">
        <f>IF(($K$7+81)&gt;$L$7,"",SUMIFS('Данные'!$E:$E,'Данные'!$A:$A,"&gt;="&amp;($K$7+81),'Данные'!$A:$A,"&lt;"&amp;($K$7+81)+1,'Данные'!$B:$B,$B$3))</f>
        <v/>
      </c>
      <c r="F140" s="39">
        <f>IF(($K$7+81)&gt;$L$7,"",IFERROR(E140/D140,""))</f>
        <v/>
      </c>
      <c r="G140" s="40">
        <f>IF(($K$7+81)&gt;$L$7,"",IFERROR(B140/E140,""))</f>
        <v/>
      </c>
      <c r="H140" s="38">
        <f>IF(($K$7+81)&gt;$L$7,"",SUMIFS('Данные'!$F:$F,'Данные'!$A:$A,"&gt;="&amp;($K$7+81),'Данные'!$A:$A,"&lt;"&amp;($K$7+81)+1,'Данные'!$B:$B,$B$3))</f>
        <v/>
      </c>
      <c r="I140" s="40">
        <f>IF(($K$7+81)&gt;$L$7,"",IFERROR(B140/H140,""))</f>
        <v/>
      </c>
      <c r="J140" s="41">
        <f>IF(($K$7+81)&gt;$L$7,"",IFERROR(H140/E140,""))</f>
        <v/>
      </c>
    </row>
    <row r="141">
      <c r="A141" s="29">
        <f>IF(($K$7+82)&gt;$L$7,"",TEXT(($K$7+82),"DD.MM")&amp;" "&amp;CHOOSE(WEEKDAY(($K$7+82),2),"пн","вт","ср","чт","пт","сб","вс"))</f>
        <v/>
      </c>
      <c r="B141" s="30">
        <f>IF(($K$7+82)&gt;$L$7,"",SUMIFS('Данные'!$C:$C,'Данные'!$A:$A,"&gt;="&amp;($K$7+82),'Данные'!$A:$A,"&lt;"&amp;($K$7+82)+1,'Данные'!$B:$B,$B$3))</f>
        <v/>
      </c>
      <c r="C141" s="30">
        <f>IF(($K$7+82)&gt;$L$7,"",B141*(100+22)/100)</f>
        <v/>
      </c>
      <c r="D141" s="31">
        <f>IF(($K$7+82)&gt;$L$7,"",SUMIFS('Данные'!$D:$D,'Данные'!$A:$A,"&gt;="&amp;($K$7+82),'Данные'!$A:$A,"&lt;"&amp;($K$7+82)+1,'Данные'!$B:$B,$B$3))</f>
        <v/>
      </c>
      <c r="E141" s="31">
        <f>IF(($K$7+82)&gt;$L$7,"",SUMIFS('Данные'!$E:$E,'Данные'!$A:$A,"&gt;="&amp;($K$7+82),'Данные'!$A:$A,"&lt;"&amp;($K$7+82)+1,'Данные'!$B:$B,$B$3))</f>
        <v/>
      </c>
      <c r="F141" s="32">
        <f>IF(($K$7+82)&gt;$L$7,"",IFERROR(E141/D141,""))</f>
        <v/>
      </c>
      <c r="G141" s="33">
        <f>IF(($K$7+82)&gt;$L$7,"",IFERROR(B141/E141,""))</f>
        <v/>
      </c>
      <c r="H141" s="31">
        <f>IF(($K$7+82)&gt;$L$7,"",SUMIFS('Данные'!$F:$F,'Данные'!$A:$A,"&gt;="&amp;($K$7+82),'Данные'!$A:$A,"&lt;"&amp;($K$7+82)+1,'Данные'!$B:$B,$B$3))</f>
        <v/>
      </c>
      <c r="I141" s="33">
        <f>IF(($K$7+82)&gt;$L$7,"",IFERROR(B141/H141,""))</f>
        <v/>
      </c>
      <c r="J141" s="34">
        <f>IF(($K$7+82)&gt;$L$7,"",IFERROR(H141/E141,""))</f>
        <v/>
      </c>
    </row>
    <row r="142">
      <c r="A142" s="36">
        <f>IF(($K$7+83)&gt;$L$7,"",TEXT(($K$7+83),"DD.MM")&amp;" "&amp;CHOOSE(WEEKDAY(($K$7+83),2),"пн","вт","ср","чт","пт","сб","вс"))</f>
        <v/>
      </c>
      <c r="B142" s="37">
        <f>IF(($K$7+83)&gt;$L$7,"",SUMIFS('Данные'!$C:$C,'Данные'!$A:$A,"&gt;="&amp;($K$7+83),'Данные'!$A:$A,"&lt;"&amp;($K$7+83)+1,'Данные'!$B:$B,$B$3))</f>
        <v/>
      </c>
      <c r="C142" s="37">
        <f>IF(($K$7+83)&gt;$L$7,"",B142*(100+22)/100)</f>
        <v/>
      </c>
      <c r="D142" s="38">
        <f>IF(($K$7+83)&gt;$L$7,"",SUMIFS('Данные'!$D:$D,'Данные'!$A:$A,"&gt;="&amp;($K$7+83),'Данные'!$A:$A,"&lt;"&amp;($K$7+83)+1,'Данные'!$B:$B,$B$3))</f>
        <v/>
      </c>
      <c r="E142" s="38">
        <f>IF(($K$7+83)&gt;$L$7,"",SUMIFS('Данные'!$E:$E,'Данные'!$A:$A,"&gt;="&amp;($K$7+83),'Данные'!$A:$A,"&lt;"&amp;($K$7+83)+1,'Данные'!$B:$B,$B$3))</f>
        <v/>
      </c>
      <c r="F142" s="39">
        <f>IF(($K$7+83)&gt;$L$7,"",IFERROR(E142/D142,""))</f>
        <v/>
      </c>
      <c r="G142" s="40">
        <f>IF(($K$7+83)&gt;$L$7,"",IFERROR(B142/E142,""))</f>
        <v/>
      </c>
      <c r="H142" s="38">
        <f>IF(($K$7+83)&gt;$L$7,"",SUMIFS('Данные'!$F:$F,'Данные'!$A:$A,"&gt;="&amp;($K$7+83),'Данные'!$A:$A,"&lt;"&amp;($K$7+83)+1,'Данные'!$B:$B,$B$3))</f>
        <v/>
      </c>
      <c r="I142" s="40">
        <f>IF(($K$7+83)&gt;$L$7,"",IFERROR(B142/H142,""))</f>
        <v/>
      </c>
      <c r="J142" s="41">
        <f>IF(($K$7+83)&gt;$L$7,"",IFERROR(H142/E142,""))</f>
        <v/>
      </c>
    </row>
    <row r="143">
      <c r="A143" s="29">
        <f>IF(($K$7+84)&gt;$L$7,"",TEXT(($K$7+84),"DD.MM")&amp;" "&amp;CHOOSE(WEEKDAY(($K$7+84),2),"пн","вт","ср","чт","пт","сб","вс"))</f>
        <v/>
      </c>
      <c r="B143" s="30">
        <f>IF(($K$7+84)&gt;$L$7,"",SUMIFS('Данные'!$C:$C,'Данные'!$A:$A,"&gt;="&amp;($K$7+84),'Данные'!$A:$A,"&lt;"&amp;($K$7+84)+1,'Данные'!$B:$B,$B$3))</f>
        <v/>
      </c>
      <c r="C143" s="30">
        <f>IF(($K$7+84)&gt;$L$7,"",B143*(100+22)/100)</f>
        <v/>
      </c>
      <c r="D143" s="31">
        <f>IF(($K$7+84)&gt;$L$7,"",SUMIFS('Данные'!$D:$D,'Данные'!$A:$A,"&gt;="&amp;($K$7+84),'Данные'!$A:$A,"&lt;"&amp;($K$7+84)+1,'Данные'!$B:$B,$B$3))</f>
        <v/>
      </c>
      <c r="E143" s="31">
        <f>IF(($K$7+84)&gt;$L$7,"",SUMIFS('Данные'!$E:$E,'Данные'!$A:$A,"&gt;="&amp;($K$7+84),'Данные'!$A:$A,"&lt;"&amp;($K$7+84)+1,'Данные'!$B:$B,$B$3))</f>
        <v/>
      </c>
      <c r="F143" s="32">
        <f>IF(($K$7+84)&gt;$L$7,"",IFERROR(E143/D143,""))</f>
        <v/>
      </c>
      <c r="G143" s="33">
        <f>IF(($K$7+84)&gt;$L$7,"",IFERROR(B143/E143,""))</f>
        <v/>
      </c>
      <c r="H143" s="31">
        <f>IF(($K$7+84)&gt;$L$7,"",SUMIFS('Данные'!$F:$F,'Данные'!$A:$A,"&gt;="&amp;($K$7+84),'Данные'!$A:$A,"&lt;"&amp;($K$7+84)+1,'Данные'!$B:$B,$B$3))</f>
        <v/>
      </c>
      <c r="I143" s="33">
        <f>IF(($K$7+84)&gt;$L$7,"",IFERROR(B143/H143,""))</f>
        <v/>
      </c>
      <c r="J143" s="34">
        <f>IF(($K$7+84)&gt;$L$7,"",IFERROR(H143/E143,""))</f>
        <v/>
      </c>
    </row>
    <row r="144">
      <c r="A144" s="36">
        <f>IF(($K$7+85)&gt;$L$7,"",TEXT(($K$7+85),"DD.MM")&amp;" "&amp;CHOOSE(WEEKDAY(($K$7+85),2),"пн","вт","ср","чт","пт","сб","вс"))</f>
        <v/>
      </c>
      <c r="B144" s="37">
        <f>IF(($K$7+85)&gt;$L$7,"",SUMIFS('Данные'!$C:$C,'Данные'!$A:$A,"&gt;="&amp;($K$7+85),'Данные'!$A:$A,"&lt;"&amp;($K$7+85)+1,'Данные'!$B:$B,$B$3))</f>
        <v/>
      </c>
      <c r="C144" s="37">
        <f>IF(($K$7+85)&gt;$L$7,"",B144*(100+22)/100)</f>
        <v/>
      </c>
      <c r="D144" s="38">
        <f>IF(($K$7+85)&gt;$L$7,"",SUMIFS('Данные'!$D:$D,'Данные'!$A:$A,"&gt;="&amp;($K$7+85),'Данные'!$A:$A,"&lt;"&amp;($K$7+85)+1,'Данные'!$B:$B,$B$3))</f>
        <v/>
      </c>
      <c r="E144" s="38">
        <f>IF(($K$7+85)&gt;$L$7,"",SUMIFS('Данные'!$E:$E,'Данные'!$A:$A,"&gt;="&amp;($K$7+85),'Данные'!$A:$A,"&lt;"&amp;($K$7+85)+1,'Данные'!$B:$B,$B$3))</f>
        <v/>
      </c>
      <c r="F144" s="39">
        <f>IF(($K$7+85)&gt;$L$7,"",IFERROR(E144/D144,""))</f>
        <v/>
      </c>
      <c r="G144" s="40">
        <f>IF(($K$7+85)&gt;$L$7,"",IFERROR(B144/E144,""))</f>
        <v/>
      </c>
      <c r="H144" s="38">
        <f>IF(($K$7+85)&gt;$L$7,"",SUMIFS('Данные'!$F:$F,'Данные'!$A:$A,"&gt;="&amp;($K$7+85),'Данные'!$A:$A,"&lt;"&amp;($K$7+85)+1,'Данные'!$B:$B,$B$3))</f>
        <v/>
      </c>
      <c r="I144" s="40">
        <f>IF(($K$7+85)&gt;$L$7,"",IFERROR(B144/H144,""))</f>
        <v/>
      </c>
      <c r="J144" s="41">
        <f>IF(($K$7+85)&gt;$L$7,"",IFERROR(H144/E144,""))</f>
        <v/>
      </c>
    </row>
    <row r="145">
      <c r="A145" s="29">
        <f>IF(($K$7+86)&gt;$L$7,"",TEXT(($K$7+86),"DD.MM")&amp;" "&amp;CHOOSE(WEEKDAY(($K$7+86),2),"пн","вт","ср","чт","пт","сб","вс"))</f>
        <v/>
      </c>
      <c r="B145" s="30">
        <f>IF(($K$7+86)&gt;$L$7,"",SUMIFS('Данные'!$C:$C,'Данные'!$A:$A,"&gt;="&amp;($K$7+86),'Данные'!$A:$A,"&lt;"&amp;($K$7+86)+1,'Данные'!$B:$B,$B$3))</f>
        <v/>
      </c>
      <c r="C145" s="30">
        <f>IF(($K$7+86)&gt;$L$7,"",B145*(100+22)/100)</f>
        <v/>
      </c>
      <c r="D145" s="31">
        <f>IF(($K$7+86)&gt;$L$7,"",SUMIFS('Данные'!$D:$D,'Данные'!$A:$A,"&gt;="&amp;($K$7+86),'Данные'!$A:$A,"&lt;"&amp;($K$7+86)+1,'Данные'!$B:$B,$B$3))</f>
        <v/>
      </c>
      <c r="E145" s="31">
        <f>IF(($K$7+86)&gt;$L$7,"",SUMIFS('Данные'!$E:$E,'Данные'!$A:$A,"&gt;="&amp;($K$7+86),'Данные'!$A:$A,"&lt;"&amp;($K$7+86)+1,'Данные'!$B:$B,$B$3))</f>
        <v/>
      </c>
      <c r="F145" s="32">
        <f>IF(($K$7+86)&gt;$L$7,"",IFERROR(E145/D145,""))</f>
        <v/>
      </c>
      <c r="G145" s="33">
        <f>IF(($K$7+86)&gt;$L$7,"",IFERROR(B145/E145,""))</f>
        <v/>
      </c>
      <c r="H145" s="31">
        <f>IF(($K$7+86)&gt;$L$7,"",SUMIFS('Данные'!$F:$F,'Данные'!$A:$A,"&gt;="&amp;($K$7+86),'Данные'!$A:$A,"&lt;"&amp;($K$7+86)+1,'Данные'!$B:$B,$B$3))</f>
        <v/>
      </c>
      <c r="I145" s="33">
        <f>IF(($K$7+86)&gt;$L$7,"",IFERROR(B145/H145,""))</f>
        <v/>
      </c>
      <c r="J145" s="34">
        <f>IF(($K$7+86)&gt;$L$7,"",IFERROR(H145/E145,""))</f>
        <v/>
      </c>
    </row>
    <row r="146">
      <c r="A146" s="36">
        <f>IF(($K$7+87)&gt;$L$7,"",TEXT(($K$7+87),"DD.MM")&amp;" "&amp;CHOOSE(WEEKDAY(($K$7+87),2),"пн","вт","ср","чт","пт","сб","вс"))</f>
        <v/>
      </c>
      <c r="B146" s="37">
        <f>IF(($K$7+87)&gt;$L$7,"",SUMIFS('Данные'!$C:$C,'Данные'!$A:$A,"&gt;="&amp;($K$7+87),'Данные'!$A:$A,"&lt;"&amp;($K$7+87)+1,'Данные'!$B:$B,$B$3))</f>
        <v/>
      </c>
      <c r="C146" s="37">
        <f>IF(($K$7+87)&gt;$L$7,"",B146*(100+22)/100)</f>
        <v/>
      </c>
      <c r="D146" s="38">
        <f>IF(($K$7+87)&gt;$L$7,"",SUMIFS('Данные'!$D:$D,'Данные'!$A:$A,"&gt;="&amp;($K$7+87),'Данные'!$A:$A,"&lt;"&amp;($K$7+87)+1,'Данные'!$B:$B,$B$3))</f>
        <v/>
      </c>
      <c r="E146" s="38">
        <f>IF(($K$7+87)&gt;$L$7,"",SUMIFS('Данные'!$E:$E,'Данные'!$A:$A,"&gt;="&amp;($K$7+87),'Данные'!$A:$A,"&lt;"&amp;($K$7+87)+1,'Данные'!$B:$B,$B$3))</f>
        <v/>
      </c>
      <c r="F146" s="39">
        <f>IF(($K$7+87)&gt;$L$7,"",IFERROR(E146/D146,""))</f>
        <v/>
      </c>
      <c r="G146" s="40">
        <f>IF(($K$7+87)&gt;$L$7,"",IFERROR(B146/E146,""))</f>
        <v/>
      </c>
      <c r="H146" s="38">
        <f>IF(($K$7+87)&gt;$L$7,"",SUMIFS('Данные'!$F:$F,'Данные'!$A:$A,"&gt;="&amp;($K$7+87),'Данные'!$A:$A,"&lt;"&amp;($K$7+87)+1,'Данные'!$B:$B,$B$3))</f>
        <v/>
      </c>
      <c r="I146" s="40">
        <f>IF(($K$7+87)&gt;$L$7,"",IFERROR(B146/H146,""))</f>
        <v/>
      </c>
      <c r="J146" s="41">
        <f>IF(($K$7+87)&gt;$L$7,"",IFERROR(H146/E146,""))</f>
        <v/>
      </c>
    </row>
    <row r="147">
      <c r="A147" s="29">
        <f>IF(($K$7+88)&gt;$L$7,"",TEXT(($K$7+88),"DD.MM")&amp;" "&amp;CHOOSE(WEEKDAY(($K$7+88),2),"пн","вт","ср","чт","пт","сб","вс"))</f>
        <v/>
      </c>
      <c r="B147" s="30">
        <f>IF(($K$7+88)&gt;$L$7,"",SUMIFS('Данные'!$C:$C,'Данные'!$A:$A,"&gt;="&amp;($K$7+88),'Данные'!$A:$A,"&lt;"&amp;($K$7+88)+1,'Данные'!$B:$B,$B$3))</f>
        <v/>
      </c>
      <c r="C147" s="30">
        <f>IF(($K$7+88)&gt;$L$7,"",B147*(100+22)/100)</f>
        <v/>
      </c>
      <c r="D147" s="31">
        <f>IF(($K$7+88)&gt;$L$7,"",SUMIFS('Данные'!$D:$D,'Данные'!$A:$A,"&gt;="&amp;($K$7+88),'Данные'!$A:$A,"&lt;"&amp;($K$7+88)+1,'Данные'!$B:$B,$B$3))</f>
        <v/>
      </c>
      <c r="E147" s="31">
        <f>IF(($K$7+88)&gt;$L$7,"",SUMIFS('Данные'!$E:$E,'Данные'!$A:$A,"&gt;="&amp;($K$7+88),'Данные'!$A:$A,"&lt;"&amp;($K$7+88)+1,'Данные'!$B:$B,$B$3))</f>
        <v/>
      </c>
      <c r="F147" s="32">
        <f>IF(($K$7+88)&gt;$L$7,"",IFERROR(E147/D147,""))</f>
        <v/>
      </c>
      <c r="G147" s="33">
        <f>IF(($K$7+88)&gt;$L$7,"",IFERROR(B147/E147,""))</f>
        <v/>
      </c>
      <c r="H147" s="31">
        <f>IF(($K$7+88)&gt;$L$7,"",SUMIFS('Данные'!$F:$F,'Данные'!$A:$A,"&gt;="&amp;($K$7+88),'Данные'!$A:$A,"&lt;"&amp;($K$7+88)+1,'Данные'!$B:$B,$B$3))</f>
        <v/>
      </c>
      <c r="I147" s="33">
        <f>IF(($K$7+88)&gt;$L$7,"",IFERROR(B147/H147,""))</f>
        <v/>
      </c>
      <c r="J147" s="34">
        <f>IF(($K$7+88)&gt;$L$7,"",IFERROR(H147/E147,""))</f>
        <v/>
      </c>
    </row>
    <row r="148">
      <c r="A148" s="36">
        <f>IF(($K$7+89)&gt;$L$7,"",TEXT(($K$7+89),"DD.MM")&amp;" "&amp;CHOOSE(WEEKDAY(($K$7+89),2),"пн","вт","ср","чт","пт","сб","вс"))</f>
        <v/>
      </c>
      <c r="B148" s="37">
        <f>IF(($K$7+89)&gt;$L$7,"",SUMIFS('Данные'!$C:$C,'Данные'!$A:$A,"&gt;="&amp;($K$7+89),'Данные'!$A:$A,"&lt;"&amp;($K$7+89)+1,'Данные'!$B:$B,$B$3))</f>
        <v/>
      </c>
      <c r="C148" s="37">
        <f>IF(($K$7+89)&gt;$L$7,"",B148*(100+22)/100)</f>
        <v/>
      </c>
      <c r="D148" s="38">
        <f>IF(($K$7+89)&gt;$L$7,"",SUMIFS('Данные'!$D:$D,'Данные'!$A:$A,"&gt;="&amp;($K$7+89),'Данные'!$A:$A,"&lt;"&amp;($K$7+89)+1,'Данные'!$B:$B,$B$3))</f>
        <v/>
      </c>
      <c r="E148" s="38">
        <f>IF(($K$7+89)&gt;$L$7,"",SUMIFS('Данные'!$E:$E,'Данные'!$A:$A,"&gt;="&amp;($K$7+89),'Данные'!$A:$A,"&lt;"&amp;($K$7+89)+1,'Данные'!$B:$B,$B$3))</f>
        <v/>
      </c>
      <c r="F148" s="39">
        <f>IF(($K$7+89)&gt;$L$7,"",IFERROR(E148/D148,""))</f>
        <v/>
      </c>
      <c r="G148" s="40">
        <f>IF(($K$7+89)&gt;$L$7,"",IFERROR(B148/E148,""))</f>
        <v/>
      </c>
      <c r="H148" s="38">
        <f>IF(($K$7+89)&gt;$L$7,"",SUMIFS('Данные'!$F:$F,'Данные'!$A:$A,"&gt;="&amp;($K$7+89),'Данные'!$A:$A,"&lt;"&amp;($K$7+89)+1,'Данные'!$B:$B,$B$3))</f>
        <v/>
      </c>
      <c r="I148" s="40">
        <f>IF(($K$7+89)&gt;$L$7,"",IFERROR(B148/H148,""))</f>
        <v/>
      </c>
      <c r="J148" s="41">
        <f>IF(($K$7+89)&gt;$L$7,"",IFERROR(H148/E148,""))</f>
        <v/>
      </c>
    </row>
    <row r="149">
      <c r="A149" s="29">
        <f>IF(($K$7+90)&gt;$L$7,"",TEXT(($K$7+90),"DD.MM")&amp;" "&amp;CHOOSE(WEEKDAY(($K$7+90),2),"пн","вт","ср","чт","пт","сб","вс"))</f>
        <v/>
      </c>
      <c r="B149" s="30">
        <f>IF(($K$7+90)&gt;$L$7,"",SUMIFS('Данные'!$C:$C,'Данные'!$A:$A,"&gt;="&amp;($K$7+90),'Данные'!$A:$A,"&lt;"&amp;($K$7+90)+1,'Данные'!$B:$B,$B$3))</f>
        <v/>
      </c>
      <c r="C149" s="30">
        <f>IF(($K$7+90)&gt;$L$7,"",B149*(100+22)/100)</f>
        <v/>
      </c>
      <c r="D149" s="31">
        <f>IF(($K$7+90)&gt;$L$7,"",SUMIFS('Данные'!$D:$D,'Данные'!$A:$A,"&gt;="&amp;($K$7+90),'Данные'!$A:$A,"&lt;"&amp;($K$7+90)+1,'Данные'!$B:$B,$B$3))</f>
        <v/>
      </c>
      <c r="E149" s="31">
        <f>IF(($K$7+90)&gt;$L$7,"",SUMIFS('Данные'!$E:$E,'Данные'!$A:$A,"&gt;="&amp;($K$7+90),'Данные'!$A:$A,"&lt;"&amp;($K$7+90)+1,'Данные'!$B:$B,$B$3))</f>
        <v/>
      </c>
      <c r="F149" s="32">
        <f>IF(($K$7+90)&gt;$L$7,"",IFERROR(E149/D149,""))</f>
        <v/>
      </c>
      <c r="G149" s="33">
        <f>IF(($K$7+90)&gt;$L$7,"",IFERROR(B149/E149,""))</f>
        <v/>
      </c>
      <c r="H149" s="31">
        <f>IF(($K$7+90)&gt;$L$7,"",SUMIFS('Данные'!$F:$F,'Данные'!$A:$A,"&gt;="&amp;($K$7+90),'Данные'!$A:$A,"&lt;"&amp;($K$7+90)+1,'Данные'!$B:$B,$B$3))</f>
        <v/>
      </c>
      <c r="I149" s="33">
        <f>IF(($K$7+90)&gt;$L$7,"",IFERROR(B149/H149,""))</f>
        <v/>
      </c>
      <c r="J149" s="34">
        <f>IF(($K$7+90)&gt;$L$7,"",IFERROR(H149/E149,""))</f>
        <v/>
      </c>
    </row>
    <row r="150">
      <c r="A150" s="36">
        <f>IF(($K$7+91)&gt;$L$7,"",TEXT(($K$7+91),"DD.MM")&amp;" "&amp;CHOOSE(WEEKDAY(($K$7+91),2),"пн","вт","ср","чт","пт","сб","вс"))</f>
        <v/>
      </c>
      <c r="B150" s="37">
        <f>IF(($K$7+91)&gt;$L$7,"",SUMIFS('Данные'!$C:$C,'Данные'!$A:$A,"&gt;="&amp;($K$7+91),'Данные'!$A:$A,"&lt;"&amp;($K$7+91)+1,'Данные'!$B:$B,$B$3))</f>
        <v/>
      </c>
      <c r="C150" s="37">
        <f>IF(($K$7+91)&gt;$L$7,"",B150*(100+22)/100)</f>
        <v/>
      </c>
      <c r="D150" s="38">
        <f>IF(($K$7+91)&gt;$L$7,"",SUMIFS('Данные'!$D:$D,'Данные'!$A:$A,"&gt;="&amp;($K$7+91),'Данные'!$A:$A,"&lt;"&amp;($K$7+91)+1,'Данные'!$B:$B,$B$3))</f>
        <v/>
      </c>
      <c r="E150" s="38">
        <f>IF(($K$7+91)&gt;$L$7,"",SUMIFS('Данные'!$E:$E,'Данные'!$A:$A,"&gt;="&amp;($K$7+91),'Данные'!$A:$A,"&lt;"&amp;($K$7+91)+1,'Данные'!$B:$B,$B$3))</f>
        <v/>
      </c>
      <c r="F150" s="39">
        <f>IF(($K$7+91)&gt;$L$7,"",IFERROR(E150/D150,""))</f>
        <v/>
      </c>
      <c r="G150" s="40">
        <f>IF(($K$7+91)&gt;$L$7,"",IFERROR(B150/E150,""))</f>
        <v/>
      </c>
      <c r="H150" s="38">
        <f>IF(($K$7+91)&gt;$L$7,"",SUMIFS('Данные'!$F:$F,'Данные'!$A:$A,"&gt;="&amp;($K$7+91),'Данные'!$A:$A,"&lt;"&amp;($K$7+91)+1,'Данные'!$B:$B,$B$3))</f>
        <v/>
      </c>
      <c r="I150" s="40">
        <f>IF(($K$7+91)&gt;$L$7,"",IFERROR(B150/H150,""))</f>
        <v/>
      </c>
      <c r="J150" s="41">
        <f>IF(($K$7+91)&gt;$L$7,"",IFERROR(H150/E150,""))</f>
        <v/>
      </c>
    </row>
  </sheetData>
  <conditionalFormatting sqref="D9">
    <cfRule type="expression" priority="1" dxfId="0">
      <formula>AND(ISNUMBER(D9),D9&gt;0.005)</formula>
    </cfRule>
    <cfRule type="expression" priority="2" dxfId="1">
      <formula>AND(ISNUMBER(D9),D9&lt;-0.005)</formula>
    </cfRule>
  </conditionalFormatting>
  <conditionalFormatting sqref="E9">
    <cfRule type="expression" priority="3" dxfId="0">
      <formula>AND(ISNUMBER(E9),E9&gt;0.005)</formula>
    </cfRule>
    <cfRule type="expression" priority="4" dxfId="1">
      <formula>AND(ISNUMBER(E9),E9&lt;-0.005)</formula>
    </cfRule>
  </conditionalFormatting>
  <conditionalFormatting sqref="F9">
    <cfRule type="expression" priority="5" dxfId="0">
      <formula>AND(ISNUMBER(F9),F9&gt;0.005)</formula>
    </cfRule>
    <cfRule type="expression" priority="6" dxfId="1">
      <formula>AND(ISNUMBER(F9),F9&lt;-0.005)</formula>
    </cfRule>
  </conditionalFormatting>
  <conditionalFormatting sqref="G9">
    <cfRule type="expression" priority="7" dxfId="1">
      <formula>AND(ISNUMBER(G9),G9&gt;0.005)</formula>
    </cfRule>
    <cfRule type="expression" priority="8" dxfId="0">
      <formula>AND(ISNUMBER(G9),G9&lt;-0.005)</formula>
    </cfRule>
  </conditionalFormatting>
  <conditionalFormatting sqref="H9">
    <cfRule type="expression" priority="9" dxfId="0">
      <formula>AND(ISNUMBER(H9),H9&gt;0.005)</formula>
    </cfRule>
    <cfRule type="expression" priority="10" dxfId="1">
      <formula>AND(ISNUMBER(H9),H9&lt;-0.005)</formula>
    </cfRule>
  </conditionalFormatting>
  <conditionalFormatting sqref="I9">
    <cfRule type="expression" priority="11" dxfId="1">
      <formula>AND(ISNUMBER(I9),I9&gt;0.005)</formula>
    </cfRule>
    <cfRule type="expression" priority="12" dxfId="0">
      <formula>AND(ISNUMBER(I9),I9&lt;-0.005)</formula>
    </cfRule>
  </conditionalFormatting>
  <conditionalFormatting sqref="J9">
    <cfRule type="expression" priority="13" dxfId="0">
      <formula>AND(ISNUMBER(J9),J9&gt;0.005)</formula>
    </cfRule>
    <cfRule type="expression" priority="14" dxfId="1">
      <formula>AND(ISNUMBER(J9),J9&lt;-0.005)</formula>
    </cfRule>
  </conditionalFormatting>
  <conditionalFormatting sqref="I13:I38">
    <cfRule type="colorScale" priority="15">
      <colorScale>
        <cfvo type="min"/>
        <cfvo type="percentile" val="50"/>
        <cfvo type="max"/>
        <color rgb="00D8F0E0"/>
        <color rgb="00FFFFFF"/>
        <color rgb="00F8D7D5"/>
      </colorScale>
    </cfRule>
  </conditionalFormatting>
  <conditionalFormatting sqref="I43:I54">
    <cfRule type="colorScale" priority="16">
      <colorScale>
        <cfvo type="min"/>
        <cfvo type="percentile" val="50"/>
        <cfvo type="max"/>
        <color rgb="00D8F0E0"/>
        <color rgb="00FFFFFF"/>
        <color rgb="00F8D7D5"/>
      </colorScale>
    </cfRule>
  </conditionalFormatting>
  <conditionalFormatting sqref="I59:I150">
    <cfRule type="colorScale" priority="17">
      <colorScale>
        <cfvo type="min"/>
        <cfvo type="percentile" val="50"/>
        <cfvo type="max"/>
        <color rgb="00D8F0E0"/>
        <color rgb="00FFFFFF"/>
        <color rgb="00F8D7D5"/>
      </colorScale>
    </cfRule>
  </conditionalFormatting>
  <dataValidations count="1">
    <dataValidation sqref="H3 J3" showDropDown="0" showInputMessage="0" showErrorMessage="0" allowBlank="1" promptTitle="Период" prompt="Дата. Пусто — текущий месяц." type="date" operator="greaterThan">
      <formula1>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9AA3B2"/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4" customWidth="1" min="3" max="3"/>
    <col width="14" customWidth="1" min="4" max="4"/>
  </cols>
  <sheetData>
    <row r="1">
      <c r="A1" s="11" t="inlineStr">
        <is>
          <t>Направление (= название листа)</t>
        </is>
      </c>
      <c r="B1" s="11" t="inlineStr">
        <is>
          <t>Подключение (заполняет скрипт)</t>
        </is>
      </c>
      <c r="C1" s="11" t="inlineStr">
        <is>
          <t>Метрика подписок (необяз.)</t>
        </is>
      </c>
      <c r="D1" s="11" t="inlineStr">
        <is>
          <t>Цвет</t>
        </is>
      </c>
    </row>
    <row r="2">
      <c r="A2" s="5" t="inlineStr">
        <is>
          <t>Направление 1</t>
        </is>
      </c>
      <c r="B2" s="4" t="inlineStr">
        <is>
          <t>— (демо-данные)</t>
        </is>
      </c>
      <c r="D2" s="61" t="inlineStr">
        <is>
          <t>#2A78D6</t>
        </is>
      </c>
    </row>
    <row r="3">
      <c r="A3" s="5" t="inlineStr">
        <is>
          <t>Направление 2</t>
        </is>
      </c>
      <c r="B3" s="4" t="inlineStr">
        <is>
          <t>— (демо-данные)</t>
        </is>
      </c>
      <c r="D3" s="62" t="inlineStr">
        <is>
          <t>#EB6834</t>
        </is>
      </c>
    </row>
    <row r="4">
      <c r="A4" s="5" t="inlineStr">
        <is>
          <t>Направление 3</t>
        </is>
      </c>
      <c r="B4" s="4" t="inlineStr">
        <is>
          <t>— (демо-данные)</t>
        </is>
      </c>
      <c r="D4" s="63" t="inlineStr">
        <is>
          <t>#1BAF7A</t>
        </is>
      </c>
    </row>
    <row r="7">
      <c r="A7" s="5" t="inlineStr">
        <is>
          <t>Отчёт строится по дату:</t>
        </is>
      </c>
      <c r="B7" s="6">
        <f>IF(COUNT('Данные'!$A:$A),INT(MAX('Данные'!$A:$A)),TODAY()-1)</f>
        <v/>
      </c>
      <c r="C7" s="4" t="inlineStr">
        <is>
          <t>← последний день в «Данные», считается сам</t>
        </is>
      </c>
    </row>
    <row r="9">
      <c r="A9" s="5" t="inlineStr">
        <is>
          <t>Как пользоваться:</t>
        </is>
      </c>
    </row>
    <row r="10">
      <c r="A10" s="4" t="inlineStr">
        <is>
          <t>• Впишите названия направлений в A2:A4 (например, «Стоматология») — они подставятся во все листы и графики.</t>
        </is>
      </c>
    </row>
    <row r="11">
      <c r="A11" s="4" t="inlineStr">
        <is>
          <t xml:space="preserve">  Вкладки направлений можно переименовать вручную — формулы не сломаются.</t>
        </is>
      </c>
    </row>
    <row r="12">
      <c r="A12" s="4" t="inlineStr">
        <is>
          <t>• Все цифры берутся с листа «Данные»: 1 строка = 1 день одного направления (итог всех кампаний кабинета).</t>
        </is>
      </c>
    </row>
    <row r="13">
      <c r="A13" s="4" t="inlineStr">
        <is>
          <t xml:space="preserve">  Скрипт будет дописывать туда строки каждое утро; пока там демо-данные — удалите строки 2+ перед реальной загрузкой.</t>
        </is>
      </c>
    </row>
    <row r="14">
      <c r="A14" s="4" t="inlineStr">
        <is>
          <t>• «Этот месяц» = с 1-го числа по отчётную дату; сравнение — с теми же днями прошлого месяца.</t>
        </is>
      </c>
    </row>
    <row r="15">
      <c r="A15" s="4" t="inlineStr">
        <is>
          <t>• Ключевая цель — вступления в сообщество. Цена подписки = расход / подписки, CR = подписки / клики.</t>
        </is>
      </c>
    </row>
    <row r="16">
      <c r="A16" s="4" t="inlineStr">
        <is>
          <t>• Неделя — с понедельника по воскресенье.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A3B2"/>
    <outlinePr summaryBelow="1" summaryRight="1"/>
    <pageSetUpPr/>
  </sheetPr>
  <dimension ref="A1:F10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0" customWidth="1" min="5" max="5"/>
    <col width="8" customWidth="1" min="6" max="6"/>
  </cols>
  <sheetData>
    <row r="1">
      <c r="A1" s="11" t="inlineStr">
        <is>
          <t>Дата</t>
        </is>
      </c>
      <c r="B1" s="11" t="inlineStr">
        <is>
          <t>Направление</t>
        </is>
      </c>
      <c r="C1" s="11" t="inlineStr">
        <is>
          <t>Расход</t>
        </is>
      </c>
      <c r="D1" s="11" t="inlineStr">
        <is>
          <t>Показы</t>
        </is>
      </c>
      <c r="E1" s="11" t="inlineStr">
        <is>
          <t>Клики</t>
        </is>
      </c>
      <c r="F1" s="11" t="inlineStr">
        <is>
          <t>Подписки</t>
        </is>
      </c>
    </row>
    <row r="2">
      <c r="A2" s="64" t="n">
        <v>45942</v>
      </c>
      <c r="B2" s="65">
        <f>'⚙ Настройки'!$A$2</f>
        <v/>
      </c>
      <c r="C2" s="66" t="n">
        <v>1598</v>
      </c>
      <c r="D2" s="65" t="n">
        <v>8453</v>
      </c>
      <c r="E2" s="65" t="n">
        <v>162</v>
      </c>
      <c r="F2" s="65" t="n">
        <v>69</v>
      </c>
    </row>
    <row r="3">
      <c r="A3" s="64" t="n">
        <v>45942</v>
      </c>
      <c r="B3" s="65">
        <f>'⚙ Настройки'!$A$3</f>
        <v/>
      </c>
      <c r="C3" s="66" t="n">
        <v>2734</v>
      </c>
      <c r="D3" s="65" t="n">
        <v>12066</v>
      </c>
      <c r="E3" s="65" t="n">
        <v>202</v>
      </c>
      <c r="F3" s="65" t="n">
        <v>69</v>
      </c>
    </row>
    <row r="4">
      <c r="A4" s="64" t="n">
        <v>45942</v>
      </c>
      <c r="B4" s="65">
        <f>'⚙ Настройки'!$A$4</f>
        <v/>
      </c>
      <c r="C4" s="66" t="n">
        <v>4095</v>
      </c>
      <c r="D4" s="65" t="n">
        <v>22566</v>
      </c>
      <c r="E4" s="65" t="n">
        <v>336</v>
      </c>
      <c r="F4" s="65" t="n">
        <v>40</v>
      </c>
    </row>
    <row r="5">
      <c r="A5" s="64" t="n">
        <v>45943</v>
      </c>
      <c r="B5" s="65">
        <f>'⚙ Настройки'!$A$2</f>
        <v/>
      </c>
      <c r="C5" s="66" t="n">
        <v>2552</v>
      </c>
      <c r="D5" s="65" t="n">
        <v>12637</v>
      </c>
      <c r="E5" s="65" t="n">
        <v>183</v>
      </c>
      <c r="F5" s="65" t="n">
        <v>73</v>
      </c>
    </row>
    <row r="6">
      <c r="A6" s="64" t="n">
        <v>45943</v>
      </c>
      <c r="B6" s="65">
        <f>'⚙ Настройки'!$A$3</f>
        <v/>
      </c>
      <c r="C6" s="66" t="n">
        <v>5424</v>
      </c>
      <c r="D6" s="65" t="n">
        <v>23842</v>
      </c>
      <c r="E6" s="65" t="n">
        <v>366</v>
      </c>
      <c r="F6" s="65" t="n">
        <v>75</v>
      </c>
    </row>
    <row r="7">
      <c r="A7" s="64" t="n">
        <v>45943</v>
      </c>
      <c r="B7" s="65">
        <f>'⚙ Настройки'!$A$4</f>
        <v/>
      </c>
      <c r="C7" s="66" t="n">
        <v>4919</v>
      </c>
      <c r="D7" s="65" t="n">
        <v>20959</v>
      </c>
      <c r="E7" s="65" t="n">
        <v>319</v>
      </c>
      <c r="F7" s="65" t="n">
        <v>55</v>
      </c>
    </row>
    <row r="8">
      <c r="A8" s="64" t="n">
        <v>45944</v>
      </c>
      <c r="B8" s="65">
        <f>'⚙ Настройки'!$A$2</f>
        <v/>
      </c>
      <c r="C8" s="66" t="n">
        <v>1930</v>
      </c>
      <c r="D8" s="65" t="n">
        <v>9368</v>
      </c>
      <c r="E8" s="65" t="n">
        <v>136</v>
      </c>
      <c r="F8" s="65" t="n">
        <v>82</v>
      </c>
    </row>
    <row r="9">
      <c r="A9" s="64" t="n">
        <v>45944</v>
      </c>
      <c r="B9" s="65">
        <f>'⚙ Настройки'!$A$3</f>
        <v/>
      </c>
      <c r="C9" s="66" t="n">
        <v>4763</v>
      </c>
      <c r="D9" s="65" t="n">
        <v>20994</v>
      </c>
      <c r="E9" s="65" t="n">
        <v>406</v>
      </c>
      <c r="F9" s="65" t="n">
        <v>66</v>
      </c>
    </row>
    <row r="10">
      <c r="A10" s="64" t="n">
        <v>45944</v>
      </c>
      <c r="B10" s="65">
        <f>'⚙ Настройки'!$A$4</f>
        <v/>
      </c>
      <c r="C10" s="66" t="n">
        <v>5213</v>
      </c>
      <c r="D10" s="65" t="n">
        <v>27419</v>
      </c>
      <c r="E10" s="65" t="n">
        <v>534</v>
      </c>
      <c r="F10" s="65" t="n">
        <v>104</v>
      </c>
    </row>
    <row r="11">
      <c r="A11" s="64" t="n">
        <v>45945</v>
      </c>
      <c r="B11" s="65">
        <f>'⚙ Настройки'!$A$2</f>
        <v/>
      </c>
      <c r="C11" s="66" t="n">
        <v>2419</v>
      </c>
      <c r="D11" s="65" t="n">
        <v>10535</v>
      </c>
      <c r="E11" s="65" t="n">
        <v>158</v>
      </c>
      <c r="F11" s="65" t="n">
        <v>89</v>
      </c>
    </row>
    <row r="12">
      <c r="A12" s="64" t="n">
        <v>45945</v>
      </c>
      <c r="B12" s="65">
        <f>'⚙ Настройки'!$A$3</f>
        <v/>
      </c>
      <c r="C12" s="66" t="n">
        <v>5176</v>
      </c>
      <c r="D12" s="65" t="n">
        <v>22472</v>
      </c>
      <c r="E12" s="65" t="n">
        <v>350</v>
      </c>
      <c r="F12" s="65" t="n">
        <v>82</v>
      </c>
    </row>
    <row r="13">
      <c r="A13" s="64" t="n">
        <v>45945</v>
      </c>
      <c r="B13" s="65">
        <f>'⚙ Настройки'!$A$4</f>
        <v/>
      </c>
      <c r="C13" s="66" t="n">
        <v>6011</v>
      </c>
      <c r="D13" s="65" t="n">
        <v>25567</v>
      </c>
      <c r="E13" s="65" t="n">
        <v>504</v>
      </c>
      <c r="F13" s="65" t="n">
        <v>62</v>
      </c>
    </row>
    <row r="14">
      <c r="A14" s="64" t="n">
        <v>45946</v>
      </c>
      <c r="B14" s="65">
        <f>'⚙ Настройки'!$A$2</f>
        <v/>
      </c>
      <c r="C14" s="66" t="n">
        <v>2678</v>
      </c>
      <c r="D14" s="65" t="n">
        <v>11306</v>
      </c>
      <c r="E14" s="65" t="n">
        <v>210</v>
      </c>
      <c r="F14" s="65" t="n">
        <v>84</v>
      </c>
    </row>
    <row r="15">
      <c r="A15" s="64" t="n">
        <v>45946</v>
      </c>
      <c r="B15" s="65">
        <f>'⚙ Настройки'!$A$3</f>
        <v/>
      </c>
      <c r="C15" s="66" t="n">
        <v>4601</v>
      </c>
      <c r="D15" s="65" t="n">
        <v>20493</v>
      </c>
      <c r="E15" s="65" t="n">
        <v>359</v>
      </c>
      <c r="F15" s="65" t="n">
        <v>64</v>
      </c>
    </row>
    <row r="16">
      <c r="A16" s="64" t="n">
        <v>45946</v>
      </c>
      <c r="B16" s="65">
        <f>'⚙ Настройки'!$A$4</f>
        <v/>
      </c>
      <c r="C16" s="66" t="n">
        <v>8114</v>
      </c>
      <c r="D16" s="65" t="n">
        <v>44589</v>
      </c>
      <c r="E16" s="65" t="n">
        <v>708</v>
      </c>
      <c r="F16" s="65" t="n">
        <v>88</v>
      </c>
    </row>
    <row r="17">
      <c r="A17" s="64" t="n">
        <v>45947</v>
      </c>
      <c r="B17" s="65">
        <f>'⚙ Настройки'!$A$2</f>
        <v/>
      </c>
      <c r="C17" s="66" t="n">
        <v>3121</v>
      </c>
      <c r="D17" s="65" t="n">
        <v>17074</v>
      </c>
      <c r="E17" s="65" t="n">
        <v>356</v>
      </c>
      <c r="F17" s="65" t="n">
        <v>108</v>
      </c>
    </row>
    <row r="18">
      <c r="A18" s="64" t="n">
        <v>45947</v>
      </c>
      <c r="B18" s="65">
        <f>'⚙ Настройки'!$A$3</f>
        <v/>
      </c>
      <c r="C18" s="66" t="n">
        <v>4662</v>
      </c>
      <c r="D18" s="65" t="n">
        <v>23802</v>
      </c>
      <c r="E18" s="65" t="n">
        <v>378</v>
      </c>
      <c r="F18" s="65" t="n">
        <v>120</v>
      </c>
    </row>
    <row r="19">
      <c r="A19" s="64" t="n">
        <v>45947</v>
      </c>
      <c r="B19" s="65">
        <f>'⚙ Настройки'!$A$4</f>
        <v/>
      </c>
      <c r="C19" s="66" t="n">
        <v>7174</v>
      </c>
      <c r="D19" s="65" t="n">
        <v>39359</v>
      </c>
      <c r="E19" s="65" t="n">
        <v>710</v>
      </c>
      <c r="F19" s="65" t="n">
        <v>122</v>
      </c>
    </row>
    <row r="20">
      <c r="A20" s="64" t="n">
        <v>45948</v>
      </c>
      <c r="B20" s="65">
        <f>'⚙ Настройки'!$A$2</f>
        <v/>
      </c>
      <c r="C20" s="66" t="n">
        <v>1453</v>
      </c>
      <c r="D20" s="65" t="n">
        <v>7767</v>
      </c>
      <c r="E20" s="65" t="n">
        <v>128</v>
      </c>
      <c r="F20" s="65" t="n">
        <v>33</v>
      </c>
    </row>
    <row r="21">
      <c r="A21" s="64" t="n">
        <v>45948</v>
      </c>
      <c r="B21" s="65">
        <f>'⚙ Настройки'!$A$3</f>
        <v/>
      </c>
      <c r="C21" s="66" t="n">
        <v>3169</v>
      </c>
      <c r="D21" s="65" t="n">
        <v>17269</v>
      </c>
      <c r="E21" s="65" t="n">
        <v>306</v>
      </c>
      <c r="F21" s="65" t="n">
        <v>81</v>
      </c>
    </row>
    <row r="22">
      <c r="A22" s="64" t="n">
        <v>45948</v>
      </c>
      <c r="B22" s="65">
        <f>'⚙ Настройки'!$A$4</f>
        <v/>
      </c>
      <c r="C22" s="66" t="n">
        <v>4434</v>
      </c>
      <c r="D22" s="65" t="n">
        <v>23801</v>
      </c>
      <c r="E22" s="65" t="n">
        <v>337</v>
      </c>
      <c r="F22" s="65" t="n">
        <v>43</v>
      </c>
    </row>
    <row r="23">
      <c r="A23" s="64" t="n">
        <v>45949</v>
      </c>
      <c r="B23" s="65">
        <f>'⚙ Настройки'!$A$2</f>
        <v/>
      </c>
      <c r="C23" s="66" t="n">
        <v>1487</v>
      </c>
      <c r="D23" s="65" t="n">
        <v>6920</v>
      </c>
      <c r="E23" s="65" t="n">
        <v>132</v>
      </c>
      <c r="F23" s="65" t="n">
        <v>48</v>
      </c>
    </row>
    <row r="24">
      <c r="A24" s="64" t="n">
        <v>45949</v>
      </c>
      <c r="B24" s="65">
        <f>'⚙ Настройки'!$A$3</f>
        <v/>
      </c>
      <c r="C24" s="66" t="n">
        <v>3171</v>
      </c>
      <c r="D24" s="65" t="n">
        <v>15108</v>
      </c>
      <c r="E24" s="65" t="n">
        <v>277</v>
      </c>
      <c r="F24" s="65" t="n">
        <v>45</v>
      </c>
    </row>
    <row r="25">
      <c r="A25" s="64" t="n">
        <v>45949</v>
      </c>
      <c r="B25" s="65">
        <f>'⚙ Настройки'!$A$4</f>
        <v/>
      </c>
      <c r="C25" s="66" t="n">
        <v>4178</v>
      </c>
      <c r="D25" s="65" t="n">
        <v>17953</v>
      </c>
      <c r="E25" s="65" t="n">
        <v>269</v>
      </c>
      <c r="F25" s="65" t="n">
        <v>57</v>
      </c>
    </row>
    <row r="26">
      <c r="A26" s="64" t="n">
        <v>45950</v>
      </c>
      <c r="B26" s="65">
        <f>'⚙ Настройки'!$A$2</f>
        <v/>
      </c>
      <c r="C26" s="66" t="n">
        <v>2591</v>
      </c>
      <c r="D26" s="65" t="n">
        <v>14099</v>
      </c>
      <c r="E26" s="65" t="n">
        <v>204</v>
      </c>
      <c r="F26" s="65" t="n">
        <v>97</v>
      </c>
    </row>
    <row r="27">
      <c r="A27" s="64" t="n">
        <v>45950</v>
      </c>
      <c r="B27" s="65">
        <f>'⚙ Настройки'!$A$3</f>
        <v/>
      </c>
      <c r="C27" s="66" t="n">
        <v>3432</v>
      </c>
      <c r="D27" s="65" t="n">
        <v>14893</v>
      </c>
      <c r="E27" s="65" t="n">
        <v>264</v>
      </c>
      <c r="F27" s="65" t="n">
        <v>60</v>
      </c>
    </row>
    <row r="28">
      <c r="A28" s="64" t="n">
        <v>45950</v>
      </c>
      <c r="B28" s="65">
        <f>'⚙ Настройки'!$A$4</f>
        <v/>
      </c>
      <c r="C28" s="66" t="n">
        <v>5382</v>
      </c>
      <c r="D28" s="65" t="n">
        <v>26163</v>
      </c>
      <c r="E28" s="65" t="n">
        <v>404</v>
      </c>
      <c r="F28" s="65" t="n">
        <v>63</v>
      </c>
    </row>
    <row r="29">
      <c r="A29" s="64" t="n">
        <v>45951</v>
      </c>
      <c r="B29" s="65">
        <f>'⚙ Настройки'!$A$2</f>
        <v/>
      </c>
      <c r="C29" s="66" t="n">
        <v>2763</v>
      </c>
      <c r="D29" s="65" t="n">
        <v>13435</v>
      </c>
      <c r="E29" s="65" t="n">
        <v>222</v>
      </c>
      <c r="F29" s="65" t="n">
        <v>74</v>
      </c>
    </row>
    <row r="30">
      <c r="A30" s="64" t="n">
        <v>45951</v>
      </c>
      <c r="B30" s="65">
        <f>'⚙ Настройки'!$A$3</f>
        <v/>
      </c>
      <c r="C30" s="66" t="n">
        <v>4939</v>
      </c>
      <c r="D30" s="65" t="n">
        <v>21433</v>
      </c>
      <c r="E30" s="65" t="n">
        <v>364</v>
      </c>
      <c r="F30" s="65" t="n">
        <v>97</v>
      </c>
    </row>
    <row r="31">
      <c r="A31" s="64" t="n">
        <v>45951</v>
      </c>
      <c r="B31" s="65">
        <f>'⚙ Настройки'!$A$4</f>
        <v/>
      </c>
      <c r="C31" s="66" t="n">
        <v>5429</v>
      </c>
      <c r="D31" s="65" t="n">
        <v>24205</v>
      </c>
      <c r="E31" s="65" t="n">
        <v>436</v>
      </c>
      <c r="F31" s="65" t="n">
        <v>106</v>
      </c>
    </row>
    <row r="32">
      <c r="A32" s="64" t="n">
        <v>45952</v>
      </c>
      <c r="B32" s="65">
        <f>'⚙ Настройки'!$A$2</f>
        <v/>
      </c>
      <c r="C32" s="66" t="n">
        <v>2478</v>
      </c>
      <c r="D32" s="65" t="n">
        <v>12516</v>
      </c>
      <c r="E32" s="65" t="n">
        <v>255</v>
      </c>
      <c r="F32" s="65" t="n">
        <v>62</v>
      </c>
    </row>
    <row r="33">
      <c r="A33" s="64" t="n">
        <v>45952</v>
      </c>
      <c r="B33" s="65">
        <f>'⚙ Настройки'!$A$3</f>
        <v/>
      </c>
      <c r="C33" s="66" t="n">
        <v>5620</v>
      </c>
      <c r="D33" s="65" t="n">
        <v>30457</v>
      </c>
      <c r="E33" s="65" t="n">
        <v>582</v>
      </c>
      <c r="F33" s="65" t="n">
        <v>93</v>
      </c>
    </row>
    <row r="34">
      <c r="A34" s="64" t="n">
        <v>45952</v>
      </c>
      <c r="B34" s="65">
        <f>'⚙ Настройки'!$A$4</f>
        <v/>
      </c>
      <c r="C34" s="66" t="n">
        <v>6115</v>
      </c>
      <c r="D34" s="65" t="n">
        <v>29150</v>
      </c>
      <c r="E34" s="65" t="n">
        <v>622</v>
      </c>
      <c r="F34" s="65" t="n">
        <v>93</v>
      </c>
    </row>
    <row r="35">
      <c r="A35" s="64" t="n">
        <v>45953</v>
      </c>
      <c r="B35" s="65">
        <f>'⚙ Настройки'!$A$2</f>
        <v/>
      </c>
      <c r="C35" s="66" t="n">
        <v>2216</v>
      </c>
      <c r="D35" s="65" t="n">
        <v>10333</v>
      </c>
      <c r="E35" s="65" t="n">
        <v>188</v>
      </c>
      <c r="F35" s="65" t="n">
        <v>49</v>
      </c>
    </row>
    <row r="36">
      <c r="A36" s="64" t="n">
        <v>45953</v>
      </c>
      <c r="B36" s="65">
        <f>'⚙ Настройки'!$A$3</f>
        <v/>
      </c>
      <c r="C36" s="66" t="n">
        <v>3496</v>
      </c>
      <c r="D36" s="65" t="n">
        <v>16142</v>
      </c>
      <c r="E36" s="65" t="n">
        <v>314</v>
      </c>
      <c r="F36" s="65" t="n">
        <v>48</v>
      </c>
    </row>
    <row r="37">
      <c r="A37" s="64" t="n">
        <v>45953</v>
      </c>
      <c r="B37" s="65">
        <f>'⚙ Настройки'!$A$4</f>
        <v/>
      </c>
      <c r="C37" s="66" t="n">
        <v>5666</v>
      </c>
      <c r="D37" s="65" t="n">
        <v>23802</v>
      </c>
      <c r="E37" s="65" t="n">
        <v>501</v>
      </c>
      <c r="F37" s="65" t="n">
        <v>64</v>
      </c>
    </row>
    <row r="38">
      <c r="A38" s="64" t="n">
        <v>45954</v>
      </c>
      <c r="B38" s="65">
        <f>'⚙ Настройки'!$A$2</f>
        <v/>
      </c>
      <c r="C38" s="66" t="n">
        <v>2836</v>
      </c>
      <c r="D38" s="65" t="n">
        <v>14376</v>
      </c>
      <c r="E38" s="65" t="n">
        <v>314</v>
      </c>
      <c r="F38" s="65" t="n">
        <v>118</v>
      </c>
    </row>
    <row r="39">
      <c r="A39" s="64" t="n">
        <v>45954</v>
      </c>
      <c r="B39" s="65">
        <f>'⚙ Настройки'!$A$3</f>
        <v/>
      </c>
      <c r="C39" s="66" t="n">
        <v>4192</v>
      </c>
      <c r="D39" s="65" t="n">
        <v>17547</v>
      </c>
      <c r="E39" s="65" t="n">
        <v>317</v>
      </c>
      <c r="F39" s="65" t="n">
        <v>78</v>
      </c>
    </row>
    <row r="40">
      <c r="A40" s="64" t="n">
        <v>45954</v>
      </c>
      <c r="B40" s="65">
        <f>'⚙ Настройки'!$A$4</f>
        <v/>
      </c>
      <c r="C40" s="66" t="n">
        <v>5865</v>
      </c>
      <c r="D40" s="65" t="n">
        <v>30766</v>
      </c>
      <c r="E40" s="65" t="n">
        <v>496</v>
      </c>
      <c r="F40" s="65" t="n">
        <v>120</v>
      </c>
    </row>
    <row r="41">
      <c r="A41" s="64" t="n">
        <v>45955</v>
      </c>
      <c r="B41" s="65">
        <f>'⚙ Настройки'!$A$2</f>
        <v/>
      </c>
      <c r="C41" s="66" t="n">
        <v>1711</v>
      </c>
      <c r="D41" s="65" t="n">
        <v>7590</v>
      </c>
      <c r="E41" s="65" t="n">
        <v>115</v>
      </c>
      <c r="F41" s="65" t="n">
        <v>50</v>
      </c>
    </row>
    <row r="42">
      <c r="A42" s="64" t="n">
        <v>45955</v>
      </c>
      <c r="B42" s="65">
        <f>'⚙ Настройки'!$A$3</f>
        <v/>
      </c>
      <c r="C42" s="66" t="n">
        <v>3849</v>
      </c>
      <c r="D42" s="65" t="n">
        <v>21144</v>
      </c>
      <c r="E42" s="65" t="n">
        <v>417</v>
      </c>
      <c r="F42" s="65" t="n">
        <v>64</v>
      </c>
    </row>
    <row r="43">
      <c r="A43" s="64" t="n">
        <v>45955</v>
      </c>
      <c r="B43" s="65">
        <f>'⚙ Настройки'!$A$4</f>
        <v/>
      </c>
      <c r="C43" s="66" t="n">
        <v>3578</v>
      </c>
      <c r="D43" s="65" t="n">
        <v>16996</v>
      </c>
      <c r="E43" s="65" t="n">
        <v>293</v>
      </c>
      <c r="F43" s="65" t="n">
        <v>46</v>
      </c>
    </row>
    <row r="44">
      <c r="A44" s="64" t="n">
        <v>45956</v>
      </c>
      <c r="B44" s="65">
        <f>'⚙ Настройки'!$A$2</f>
        <v/>
      </c>
      <c r="C44" s="66" t="n">
        <v>1374</v>
      </c>
      <c r="D44" s="65" t="n">
        <v>6243</v>
      </c>
      <c r="E44" s="65" t="n">
        <v>126</v>
      </c>
      <c r="F44" s="65" t="n">
        <v>37</v>
      </c>
    </row>
    <row r="45">
      <c r="A45" s="64" t="n">
        <v>45956</v>
      </c>
      <c r="B45" s="65">
        <f>'⚙ Настройки'!$A$3</f>
        <v/>
      </c>
      <c r="C45" s="66" t="n">
        <v>2955</v>
      </c>
      <c r="D45" s="65" t="n">
        <v>12753</v>
      </c>
      <c r="E45" s="65" t="n">
        <v>216</v>
      </c>
      <c r="F45" s="65" t="n">
        <v>55</v>
      </c>
    </row>
    <row r="46">
      <c r="A46" s="64" t="n">
        <v>45956</v>
      </c>
      <c r="B46" s="65">
        <f>'⚙ Настройки'!$A$4</f>
        <v/>
      </c>
      <c r="C46" s="66" t="n">
        <v>4325</v>
      </c>
      <c r="D46" s="65" t="n">
        <v>23943</v>
      </c>
      <c r="E46" s="65" t="n">
        <v>467</v>
      </c>
      <c r="F46" s="65" t="n">
        <v>52</v>
      </c>
    </row>
    <row r="47">
      <c r="A47" s="64" t="n">
        <v>45957</v>
      </c>
      <c r="B47" s="65">
        <f>'⚙ Настройки'!$A$2</f>
        <v/>
      </c>
      <c r="C47" s="66" t="n">
        <v>3034</v>
      </c>
      <c r="D47" s="65" t="n">
        <v>15260</v>
      </c>
      <c r="E47" s="65" t="n">
        <v>299</v>
      </c>
      <c r="F47" s="65" t="n">
        <v>81</v>
      </c>
    </row>
    <row r="48">
      <c r="A48" s="64" t="n">
        <v>45957</v>
      </c>
      <c r="B48" s="65">
        <f>'⚙ Настройки'!$A$3</f>
        <v/>
      </c>
      <c r="C48" s="66" t="n">
        <v>4657</v>
      </c>
      <c r="D48" s="65" t="n">
        <v>20585</v>
      </c>
      <c r="E48" s="65" t="n">
        <v>323</v>
      </c>
      <c r="F48" s="65" t="n">
        <v>90</v>
      </c>
    </row>
    <row r="49">
      <c r="A49" s="64" t="n">
        <v>45957</v>
      </c>
      <c r="B49" s="65">
        <f>'⚙ Настройки'!$A$4</f>
        <v/>
      </c>
      <c r="C49" s="66" t="n">
        <v>6788</v>
      </c>
      <c r="D49" s="65" t="n">
        <v>31879</v>
      </c>
      <c r="E49" s="65" t="n">
        <v>622</v>
      </c>
      <c r="F49" s="65" t="n">
        <v>66</v>
      </c>
    </row>
    <row r="50">
      <c r="A50" s="64" t="n">
        <v>45958</v>
      </c>
      <c r="B50" s="65">
        <f>'⚙ Настройки'!$A$2</f>
        <v/>
      </c>
      <c r="C50" s="66" t="n">
        <v>2660</v>
      </c>
      <c r="D50" s="65" t="n">
        <v>12827</v>
      </c>
      <c r="E50" s="65" t="n">
        <v>266</v>
      </c>
      <c r="F50" s="65" t="n">
        <v>57</v>
      </c>
    </row>
    <row r="51">
      <c r="A51" s="64" t="n">
        <v>45958</v>
      </c>
      <c r="B51" s="65">
        <f>'⚙ Настройки'!$A$3</f>
        <v/>
      </c>
      <c r="C51" s="66" t="n">
        <v>4426</v>
      </c>
      <c r="D51" s="65" t="n">
        <v>20756</v>
      </c>
      <c r="E51" s="65" t="n">
        <v>428</v>
      </c>
      <c r="F51" s="65" t="n">
        <v>98</v>
      </c>
    </row>
    <row r="52">
      <c r="A52" s="64" t="n">
        <v>45958</v>
      </c>
      <c r="B52" s="65">
        <f>'⚙ Настройки'!$A$4</f>
        <v/>
      </c>
      <c r="C52" s="66" t="n">
        <v>7895</v>
      </c>
      <c r="D52" s="65" t="n">
        <v>35393</v>
      </c>
      <c r="E52" s="65" t="n">
        <v>609</v>
      </c>
      <c r="F52" s="65" t="n">
        <v>125</v>
      </c>
    </row>
    <row r="53">
      <c r="A53" s="64" t="n">
        <v>45959</v>
      </c>
      <c r="B53" s="65">
        <f>'⚙ Настройки'!$A$2</f>
        <v/>
      </c>
      <c r="C53" s="66" t="n">
        <v>2528</v>
      </c>
      <c r="D53" s="65" t="n">
        <v>11499</v>
      </c>
      <c r="E53" s="65" t="n">
        <v>167</v>
      </c>
      <c r="F53" s="65" t="n">
        <v>63</v>
      </c>
    </row>
    <row r="54">
      <c r="A54" s="64" t="n">
        <v>45959</v>
      </c>
      <c r="B54" s="65">
        <f>'⚙ Настройки'!$A$3</f>
        <v/>
      </c>
      <c r="C54" s="66" t="n">
        <v>5367</v>
      </c>
      <c r="D54" s="65" t="n">
        <v>26280</v>
      </c>
      <c r="E54" s="65" t="n">
        <v>474</v>
      </c>
      <c r="F54" s="65" t="n">
        <v>121</v>
      </c>
    </row>
    <row r="55">
      <c r="A55" s="64" t="n">
        <v>45959</v>
      </c>
      <c r="B55" s="65">
        <f>'⚙ Настройки'!$A$4</f>
        <v/>
      </c>
      <c r="C55" s="66" t="n">
        <v>6391</v>
      </c>
      <c r="D55" s="65" t="n">
        <v>26811</v>
      </c>
      <c r="E55" s="65" t="n">
        <v>458</v>
      </c>
      <c r="F55" s="65" t="n">
        <v>95</v>
      </c>
    </row>
    <row r="56">
      <c r="A56" s="64" t="n">
        <v>45960</v>
      </c>
      <c r="B56" s="65">
        <f>'⚙ Настройки'!$A$2</f>
        <v/>
      </c>
      <c r="C56" s="66" t="n">
        <v>2754</v>
      </c>
      <c r="D56" s="65" t="n">
        <v>11495</v>
      </c>
      <c r="E56" s="65" t="n">
        <v>237</v>
      </c>
      <c r="F56" s="65" t="n">
        <v>96</v>
      </c>
    </row>
    <row r="57">
      <c r="A57" s="64" t="n">
        <v>45960</v>
      </c>
      <c r="B57" s="65">
        <f>'⚙ Настройки'!$A$3</f>
        <v/>
      </c>
      <c r="C57" s="66" t="n">
        <v>4632</v>
      </c>
      <c r="D57" s="65" t="n">
        <v>19421</v>
      </c>
      <c r="E57" s="65" t="n">
        <v>374</v>
      </c>
      <c r="F57" s="65" t="n">
        <v>69</v>
      </c>
    </row>
    <row r="58">
      <c r="A58" s="64" t="n">
        <v>45960</v>
      </c>
      <c r="B58" s="65">
        <f>'⚙ Настройки'!$A$4</f>
        <v/>
      </c>
      <c r="C58" s="66" t="n">
        <v>6369</v>
      </c>
      <c r="D58" s="65" t="n">
        <v>33773</v>
      </c>
      <c r="E58" s="65" t="n">
        <v>743</v>
      </c>
      <c r="F58" s="65" t="n">
        <v>142</v>
      </c>
    </row>
    <row r="59">
      <c r="A59" s="64" t="n">
        <v>45961</v>
      </c>
      <c r="B59" s="65">
        <f>'⚙ Настройки'!$A$2</f>
        <v/>
      </c>
      <c r="C59" s="66" t="n">
        <v>2422</v>
      </c>
      <c r="D59" s="65" t="n">
        <v>11003</v>
      </c>
      <c r="E59" s="65" t="n">
        <v>156</v>
      </c>
      <c r="F59" s="65" t="n">
        <v>72</v>
      </c>
    </row>
    <row r="60">
      <c r="A60" s="64" t="n">
        <v>45961</v>
      </c>
      <c r="B60" s="65">
        <f>'⚙ Настройки'!$A$3</f>
        <v/>
      </c>
      <c r="C60" s="66" t="n">
        <v>4232</v>
      </c>
      <c r="D60" s="65" t="n">
        <v>21264</v>
      </c>
      <c r="E60" s="65" t="n">
        <v>349</v>
      </c>
      <c r="F60" s="65" t="n">
        <v>73</v>
      </c>
    </row>
    <row r="61">
      <c r="A61" s="64" t="n">
        <v>45961</v>
      </c>
      <c r="B61" s="65">
        <f>'⚙ Настройки'!$A$4</f>
        <v/>
      </c>
      <c r="C61" s="66" t="n">
        <v>7038</v>
      </c>
      <c r="D61" s="65" t="n">
        <v>29876</v>
      </c>
      <c r="E61" s="65" t="n">
        <v>479</v>
      </c>
      <c r="F61" s="65" t="n">
        <v>87</v>
      </c>
    </row>
    <row r="62">
      <c r="A62" s="64" t="n">
        <v>45962</v>
      </c>
      <c r="B62" s="65">
        <f>'⚙ Настройки'!$A$2</f>
        <v/>
      </c>
      <c r="C62" s="66" t="n">
        <v>1502</v>
      </c>
      <c r="D62" s="65" t="n">
        <v>8031</v>
      </c>
      <c r="E62" s="65" t="n">
        <v>116</v>
      </c>
      <c r="F62" s="65" t="n">
        <v>36</v>
      </c>
    </row>
    <row r="63">
      <c r="A63" s="64" t="n">
        <v>45962</v>
      </c>
      <c r="B63" s="65">
        <f>'⚙ Настройки'!$A$3</f>
        <v/>
      </c>
      <c r="C63" s="66" t="n">
        <v>3459</v>
      </c>
      <c r="D63" s="65" t="n">
        <v>15234</v>
      </c>
      <c r="E63" s="65" t="n">
        <v>218</v>
      </c>
      <c r="F63" s="65" t="n">
        <v>54</v>
      </c>
    </row>
    <row r="64">
      <c r="A64" s="64" t="n">
        <v>45962</v>
      </c>
      <c r="B64" s="65">
        <f>'⚙ Настройки'!$A$4</f>
        <v/>
      </c>
      <c r="C64" s="66" t="n">
        <v>4393</v>
      </c>
      <c r="D64" s="65" t="n">
        <v>22592</v>
      </c>
      <c r="E64" s="65" t="n">
        <v>352</v>
      </c>
      <c r="F64" s="65" t="n">
        <v>86</v>
      </c>
    </row>
    <row r="65">
      <c r="A65" s="64" t="n">
        <v>45963</v>
      </c>
      <c r="B65" s="65">
        <f>'⚙ Настройки'!$A$2</f>
        <v/>
      </c>
      <c r="C65" s="66" t="n">
        <v>1469</v>
      </c>
      <c r="D65" s="65" t="n">
        <v>7539</v>
      </c>
      <c r="E65" s="65" t="n">
        <v>129</v>
      </c>
      <c r="F65" s="65" t="n">
        <v>33</v>
      </c>
    </row>
    <row r="66">
      <c r="A66" s="64" t="n">
        <v>45963</v>
      </c>
      <c r="B66" s="65">
        <f>'⚙ Настройки'!$A$3</f>
        <v/>
      </c>
      <c r="C66" s="66" t="n">
        <v>3871</v>
      </c>
      <c r="D66" s="65" t="n">
        <v>18197</v>
      </c>
      <c r="E66" s="65" t="n">
        <v>262</v>
      </c>
      <c r="F66" s="65" t="n">
        <v>85</v>
      </c>
    </row>
    <row r="67">
      <c r="A67" s="64" t="n">
        <v>45963</v>
      </c>
      <c r="B67" s="65">
        <f>'⚙ Настройки'!$A$4</f>
        <v/>
      </c>
      <c r="C67" s="66" t="n">
        <v>5491</v>
      </c>
      <c r="D67" s="65" t="n">
        <v>24185</v>
      </c>
      <c r="E67" s="65" t="n">
        <v>514</v>
      </c>
      <c r="F67" s="65" t="n">
        <v>116</v>
      </c>
    </row>
    <row r="68">
      <c r="A68" s="64" t="n">
        <v>45964</v>
      </c>
      <c r="B68" s="65">
        <f>'⚙ Настройки'!$A$2</f>
        <v/>
      </c>
      <c r="C68" s="66" t="n">
        <v>2038</v>
      </c>
      <c r="D68" s="65" t="n">
        <v>9848</v>
      </c>
      <c r="E68" s="65" t="n">
        <v>181</v>
      </c>
      <c r="F68" s="65" t="n">
        <v>45</v>
      </c>
    </row>
    <row r="69">
      <c r="A69" s="64" t="n">
        <v>45964</v>
      </c>
      <c r="B69" s="65">
        <f>'⚙ Настройки'!$A$3</f>
        <v/>
      </c>
      <c r="C69" s="66" t="n">
        <v>3496</v>
      </c>
      <c r="D69" s="65" t="n">
        <v>18266</v>
      </c>
      <c r="E69" s="65" t="n">
        <v>390</v>
      </c>
      <c r="F69" s="65" t="n">
        <v>59</v>
      </c>
    </row>
    <row r="70">
      <c r="A70" s="64" t="n">
        <v>45964</v>
      </c>
      <c r="B70" s="65">
        <f>'⚙ Настройки'!$A$4</f>
        <v/>
      </c>
      <c r="C70" s="66" t="n">
        <v>7356</v>
      </c>
      <c r="D70" s="65" t="n">
        <v>36879</v>
      </c>
      <c r="E70" s="65" t="n">
        <v>707</v>
      </c>
      <c r="F70" s="65" t="n">
        <v>96</v>
      </c>
    </row>
    <row r="71">
      <c r="A71" s="64" t="n">
        <v>45965</v>
      </c>
      <c r="B71" s="65">
        <f>'⚙ Настройки'!$A$2</f>
        <v/>
      </c>
      <c r="C71" s="66" t="n">
        <v>2994</v>
      </c>
      <c r="D71" s="65" t="n">
        <v>12914</v>
      </c>
      <c r="E71" s="65" t="n">
        <v>210</v>
      </c>
      <c r="F71" s="65" t="n">
        <v>93</v>
      </c>
    </row>
    <row r="72">
      <c r="A72" s="64" t="n">
        <v>45965</v>
      </c>
      <c r="B72" s="65">
        <f>'⚙ Настройки'!$A$3</f>
        <v/>
      </c>
      <c r="C72" s="66" t="n">
        <v>5015</v>
      </c>
      <c r="D72" s="65" t="n">
        <v>22059</v>
      </c>
      <c r="E72" s="65" t="n">
        <v>469</v>
      </c>
      <c r="F72" s="65" t="n">
        <v>85</v>
      </c>
    </row>
    <row r="73">
      <c r="A73" s="64" t="n">
        <v>45965</v>
      </c>
      <c r="B73" s="65">
        <f>'⚙ Настройки'!$A$4</f>
        <v/>
      </c>
      <c r="C73" s="66" t="n">
        <v>6095</v>
      </c>
      <c r="D73" s="65" t="n">
        <v>25577</v>
      </c>
      <c r="E73" s="65" t="n">
        <v>358</v>
      </c>
      <c r="F73" s="65" t="n">
        <v>69</v>
      </c>
    </row>
    <row r="74">
      <c r="A74" s="64" t="n">
        <v>45966</v>
      </c>
      <c r="B74" s="65">
        <f>'⚙ Настройки'!$A$2</f>
        <v/>
      </c>
      <c r="C74" s="66" t="n">
        <v>2403</v>
      </c>
      <c r="D74" s="65" t="n">
        <v>10311</v>
      </c>
      <c r="E74" s="65" t="n">
        <v>223</v>
      </c>
      <c r="F74" s="65" t="n">
        <v>97</v>
      </c>
    </row>
    <row r="75">
      <c r="A75" s="64" t="n">
        <v>45966</v>
      </c>
      <c r="B75" s="65">
        <f>'⚙ Настройки'!$A$3</f>
        <v/>
      </c>
      <c r="C75" s="66" t="n">
        <v>4926</v>
      </c>
      <c r="D75" s="65" t="n">
        <v>22637</v>
      </c>
      <c r="E75" s="65" t="n">
        <v>443</v>
      </c>
      <c r="F75" s="65" t="n">
        <v>85</v>
      </c>
    </row>
    <row r="76">
      <c r="A76" s="64" t="n">
        <v>45966</v>
      </c>
      <c r="B76" s="65">
        <f>'⚙ Настройки'!$A$4</f>
        <v/>
      </c>
      <c r="C76" s="66" t="n">
        <v>7911</v>
      </c>
      <c r="D76" s="65" t="n">
        <v>37563</v>
      </c>
      <c r="E76" s="65" t="n">
        <v>704</v>
      </c>
      <c r="F76" s="65" t="n">
        <v>77</v>
      </c>
    </row>
    <row r="77">
      <c r="A77" s="64" t="n">
        <v>45967</v>
      </c>
      <c r="B77" s="65">
        <f>'⚙ Настройки'!$A$2</f>
        <v/>
      </c>
      <c r="C77" s="66" t="n">
        <v>2170</v>
      </c>
      <c r="D77" s="65" t="n">
        <v>11190</v>
      </c>
      <c r="E77" s="65" t="n">
        <v>178</v>
      </c>
      <c r="F77" s="65" t="n">
        <v>64</v>
      </c>
    </row>
    <row r="78">
      <c r="A78" s="64" t="n">
        <v>45967</v>
      </c>
      <c r="B78" s="65">
        <f>'⚙ Настройки'!$A$3</f>
        <v/>
      </c>
      <c r="C78" s="66" t="n">
        <v>5082</v>
      </c>
      <c r="D78" s="65" t="n">
        <v>26366</v>
      </c>
      <c r="E78" s="65" t="n">
        <v>510</v>
      </c>
      <c r="F78" s="65" t="n">
        <v>97</v>
      </c>
    </row>
    <row r="79">
      <c r="A79" s="64" t="n">
        <v>45967</v>
      </c>
      <c r="B79" s="65">
        <f>'⚙ Настройки'!$A$4</f>
        <v/>
      </c>
      <c r="C79" s="66" t="n">
        <v>5838</v>
      </c>
      <c r="D79" s="65" t="n">
        <v>26808</v>
      </c>
      <c r="E79" s="65" t="n">
        <v>535</v>
      </c>
      <c r="F79" s="65" t="n">
        <v>88</v>
      </c>
    </row>
    <row r="80">
      <c r="A80" s="64" t="n">
        <v>45968</v>
      </c>
      <c r="B80" s="65">
        <f>'⚙ Настройки'!$A$2</f>
        <v/>
      </c>
      <c r="C80" s="66" t="n">
        <v>2708</v>
      </c>
      <c r="D80" s="65" t="n">
        <v>13833</v>
      </c>
      <c r="E80" s="65" t="n">
        <v>194</v>
      </c>
      <c r="F80" s="65" t="n">
        <v>84</v>
      </c>
    </row>
    <row r="81">
      <c r="A81" s="64" t="n">
        <v>45968</v>
      </c>
      <c r="B81" s="65">
        <f>'⚙ Настройки'!$A$3</f>
        <v/>
      </c>
      <c r="C81" s="66" t="n">
        <v>5279</v>
      </c>
      <c r="D81" s="65" t="n">
        <v>28369</v>
      </c>
      <c r="E81" s="65" t="n">
        <v>438</v>
      </c>
      <c r="F81" s="65" t="n">
        <v>155</v>
      </c>
    </row>
    <row r="82">
      <c r="A82" s="64" t="n">
        <v>45968</v>
      </c>
      <c r="B82" s="65">
        <f>'⚙ Настройки'!$A$4</f>
        <v/>
      </c>
      <c r="C82" s="66" t="n">
        <v>7455</v>
      </c>
      <c r="D82" s="65" t="n">
        <v>36614</v>
      </c>
      <c r="E82" s="65" t="n">
        <v>667</v>
      </c>
      <c r="F82" s="65" t="n">
        <v>93</v>
      </c>
    </row>
    <row r="83">
      <c r="A83" s="64" t="n">
        <v>45969</v>
      </c>
      <c r="B83" s="65">
        <f>'⚙ Настройки'!$A$2</f>
        <v/>
      </c>
      <c r="C83" s="66" t="n">
        <v>1698</v>
      </c>
      <c r="D83" s="65" t="n">
        <v>7935</v>
      </c>
      <c r="E83" s="65" t="n">
        <v>172</v>
      </c>
      <c r="F83" s="65" t="n">
        <v>43</v>
      </c>
    </row>
    <row r="84">
      <c r="A84" s="64" t="n">
        <v>45969</v>
      </c>
      <c r="B84" s="65">
        <f>'⚙ Настройки'!$A$3</f>
        <v/>
      </c>
      <c r="C84" s="66" t="n">
        <v>3720</v>
      </c>
      <c r="D84" s="65" t="n">
        <v>15840</v>
      </c>
      <c r="E84" s="65" t="n">
        <v>305</v>
      </c>
      <c r="F84" s="65" t="n">
        <v>77</v>
      </c>
    </row>
    <row r="85">
      <c r="A85" s="64" t="n">
        <v>45969</v>
      </c>
      <c r="B85" s="65">
        <f>'⚙ Настройки'!$A$4</f>
        <v/>
      </c>
      <c r="C85" s="66" t="n">
        <v>5143</v>
      </c>
      <c r="D85" s="65" t="n">
        <v>25802</v>
      </c>
      <c r="E85" s="65" t="n">
        <v>491</v>
      </c>
      <c r="F85" s="65" t="n">
        <v>68</v>
      </c>
    </row>
    <row r="86">
      <c r="A86" s="64" t="n">
        <v>45970</v>
      </c>
      <c r="B86" s="65">
        <f>'⚙ Настройки'!$A$2</f>
        <v/>
      </c>
      <c r="C86" s="66" t="n">
        <v>1834</v>
      </c>
      <c r="D86" s="65" t="n">
        <v>8449</v>
      </c>
      <c r="E86" s="65" t="n">
        <v>164</v>
      </c>
      <c r="F86" s="65" t="n">
        <v>83</v>
      </c>
    </row>
    <row r="87">
      <c r="A87" s="64" t="n">
        <v>45970</v>
      </c>
      <c r="B87" s="65">
        <f>'⚙ Настройки'!$A$3</f>
        <v/>
      </c>
      <c r="C87" s="66" t="n">
        <v>3803</v>
      </c>
      <c r="D87" s="65" t="n">
        <v>16739</v>
      </c>
      <c r="E87" s="65" t="n">
        <v>310</v>
      </c>
      <c r="F87" s="65" t="n">
        <v>87</v>
      </c>
    </row>
    <row r="88">
      <c r="A88" s="64" t="n">
        <v>45970</v>
      </c>
      <c r="B88" s="65">
        <f>'⚙ Настройки'!$A$4</f>
        <v/>
      </c>
      <c r="C88" s="66" t="n">
        <v>4076</v>
      </c>
      <c r="D88" s="65" t="n">
        <v>18805</v>
      </c>
      <c r="E88" s="65" t="n">
        <v>303</v>
      </c>
      <c r="F88" s="65" t="n">
        <v>42</v>
      </c>
    </row>
    <row r="89">
      <c r="A89" s="64" t="n">
        <v>45971</v>
      </c>
      <c r="B89" s="65">
        <f>'⚙ Настройки'!$A$2</f>
        <v/>
      </c>
      <c r="C89" s="66" t="n">
        <v>3123</v>
      </c>
      <c r="D89" s="65" t="n">
        <v>13770</v>
      </c>
      <c r="E89" s="65" t="n">
        <v>289</v>
      </c>
      <c r="F89" s="65" t="n">
        <v>74</v>
      </c>
    </row>
    <row r="90">
      <c r="A90" s="64" t="n">
        <v>45971</v>
      </c>
      <c r="B90" s="65">
        <f>'⚙ Настройки'!$A$3</f>
        <v/>
      </c>
      <c r="C90" s="66" t="n">
        <v>4221</v>
      </c>
      <c r="D90" s="65" t="n">
        <v>20559</v>
      </c>
      <c r="E90" s="65" t="n">
        <v>340</v>
      </c>
      <c r="F90" s="65" t="n">
        <v>83</v>
      </c>
    </row>
    <row r="91">
      <c r="A91" s="64" t="n">
        <v>45971</v>
      </c>
      <c r="B91" s="65">
        <f>'⚙ Настройки'!$A$4</f>
        <v/>
      </c>
      <c r="C91" s="66" t="n">
        <v>6677</v>
      </c>
      <c r="D91" s="65" t="n">
        <v>29902</v>
      </c>
      <c r="E91" s="65" t="n">
        <v>544</v>
      </c>
      <c r="F91" s="65" t="n">
        <v>93</v>
      </c>
    </row>
    <row r="92">
      <c r="A92" s="64" t="n">
        <v>45972</v>
      </c>
      <c r="B92" s="65">
        <f>'⚙ Настройки'!$A$2</f>
        <v/>
      </c>
      <c r="C92" s="66" t="n">
        <v>2466</v>
      </c>
      <c r="D92" s="65" t="n">
        <v>12092</v>
      </c>
      <c r="E92" s="65" t="n">
        <v>179</v>
      </c>
      <c r="F92" s="65" t="n">
        <v>65</v>
      </c>
    </row>
    <row r="93">
      <c r="A93" s="64" t="n">
        <v>45972</v>
      </c>
      <c r="B93" s="65">
        <f>'⚙ Настройки'!$A$3</f>
        <v/>
      </c>
      <c r="C93" s="66" t="n">
        <v>5024</v>
      </c>
      <c r="D93" s="65" t="n">
        <v>21285</v>
      </c>
      <c r="E93" s="65" t="n">
        <v>307</v>
      </c>
      <c r="F93" s="65" t="n">
        <v>88</v>
      </c>
    </row>
    <row r="94">
      <c r="A94" s="64" t="n">
        <v>45972</v>
      </c>
      <c r="B94" s="65">
        <f>'⚙ Настройки'!$A$4</f>
        <v/>
      </c>
      <c r="C94" s="66" t="n">
        <v>5832</v>
      </c>
      <c r="D94" s="65" t="n">
        <v>30935</v>
      </c>
      <c r="E94" s="65" t="n">
        <v>663</v>
      </c>
      <c r="F94" s="65" t="n">
        <v>78</v>
      </c>
    </row>
    <row r="95">
      <c r="A95" s="64" t="n">
        <v>45973</v>
      </c>
      <c r="B95" s="65">
        <f>'⚙ Настройки'!$A$2</f>
        <v/>
      </c>
      <c r="C95" s="66" t="n">
        <v>2038</v>
      </c>
      <c r="D95" s="65" t="n">
        <v>11074</v>
      </c>
      <c r="E95" s="65" t="n">
        <v>174</v>
      </c>
      <c r="F95" s="65" t="n">
        <v>82</v>
      </c>
    </row>
    <row r="96">
      <c r="A96" s="64" t="n">
        <v>45973</v>
      </c>
      <c r="B96" s="65">
        <f>'⚙ Настройки'!$A$3</f>
        <v/>
      </c>
      <c r="C96" s="66" t="n">
        <v>3615</v>
      </c>
      <c r="D96" s="65" t="n">
        <v>19318</v>
      </c>
      <c r="E96" s="65" t="n">
        <v>396</v>
      </c>
      <c r="F96" s="65" t="n">
        <v>63</v>
      </c>
    </row>
    <row r="97">
      <c r="A97" s="64" t="n">
        <v>45973</v>
      </c>
      <c r="B97" s="65">
        <f>'⚙ Настройки'!$A$4</f>
        <v/>
      </c>
      <c r="C97" s="66" t="n">
        <v>6866</v>
      </c>
      <c r="D97" s="65" t="n">
        <v>32441</v>
      </c>
      <c r="E97" s="65" t="n">
        <v>665</v>
      </c>
      <c r="F97" s="65" t="n">
        <v>118</v>
      </c>
    </row>
    <row r="98">
      <c r="A98" s="64" t="n">
        <v>45974</v>
      </c>
      <c r="B98" s="65">
        <f>'⚙ Настройки'!$A$2</f>
        <v/>
      </c>
      <c r="C98" s="66" t="n">
        <v>2404</v>
      </c>
      <c r="D98" s="65" t="n">
        <v>13126</v>
      </c>
      <c r="E98" s="65" t="n">
        <v>184</v>
      </c>
      <c r="F98" s="65" t="n">
        <v>97</v>
      </c>
    </row>
    <row r="99">
      <c r="A99" s="64" t="n">
        <v>45974</v>
      </c>
      <c r="B99" s="65">
        <f>'⚙ Настройки'!$A$3</f>
        <v/>
      </c>
      <c r="C99" s="66" t="n">
        <v>5688</v>
      </c>
      <c r="D99" s="65" t="n">
        <v>27506</v>
      </c>
      <c r="E99" s="65" t="n">
        <v>388</v>
      </c>
      <c r="F99" s="65" t="n">
        <v>116</v>
      </c>
    </row>
    <row r="100">
      <c r="A100" s="64" t="n">
        <v>45974</v>
      </c>
      <c r="B100" s="65">
        <f>'⚙ Настройки'!$A$4</f>
        <v/>
      </c>
      <c r="C100" s="66" t="n">
        <v>5681</v>
      </c>
      <c r="D100" s="65" t="n">
        <v>24774</v>
      </c>
      <c r="E100" s="65" t="n">
        <v>438</v>
      </c>
      <c r="F100" s="65" t="n">
        <v>70</v>
      </c>
    </row>
    <row r="101">
      <c r="A101" s="64" t="n">
        <v>45975</v>
      </c>
      <c r="B101" s="65">
        <f>'⚙ Настройки'!$A$2</f>
        <v/>
      </c>
      <c r="C101" s="66" t="n">
        <v>2095</v>
      </c>
      <c r="D101" s="65" t="n">
        <v>10381</v>
      </c>
      <c r="E101" s="65" t="n">
        <v>147</v>
      </c>
      <c r="F101" s="65" t="n">
        <v>47</v>
      </c>
    </row>
    <row r="102">
      <c r="A102" s="64" t="n">
        <v>45975</v>
      </c>
      <c r="B102" s="65">
        <f>'⚙ Настройки'!$A$3</f>
        <v/>
      </c>
      <c r="C102" s="66" t="n">
        <v>4926</v>
      </c>
      <c r="D102" s="65" t="n">
        <v>20850</v>
      </c>
      <c r="E102" s="65" t="n">
        <v>455</v>
      </c>
      <c r="F102" s="65" t="n">
        <v>93</v>
      </c>
    </row>
    <row r="103">
      <c r="A103" s="64" t="n">
        <v>45975</v>
      </c>
      <c r="B103" s="65">
        <f>'⚙ Настройки'!$A$4</f>
        <v/>
      </c>
      <c r="C103" s="66" t="n">
        <v>7916</v>
      </c>
      <c r="D103" s="65" t="n">
        <v>33881</v>
      </c>
      <c r="E103" s="65" t="n">
        <v>710</v>
      </c>
      <c r="F103" s="65" t="n">
        <v>170</v>
      </c>
    </row>
    <row r="104">
      <c r="A104" s="64" t="n">
        <v>45976</v>
      </c>
      <c r="B104" s="65">
        <f>'⚙ Настройки'!$A$2</f>
        <v/>
      </c>
      <c r="C104" s="66" t="n">
        <v>1938</v>
      </c>
      <c r="D104" s="65" t="n">
        <v>10259</v>
      </c>
      <c r="E104" s="65" t="n">
        <v>164</v>
      </c>
      <c r="F104" s="65" t="n">
        <v>65</v>
      </c>
    </row>
    <row r="105">
      <c r="A105" s="64" t="n">
        <v>45976</v>
      </c>
      <c r="B105" s="65">
        <f>'⚙ Настройки'!$A$3</f>
        <v/>
      </c>
      <c r="C105" s="66" t="n">
        <v>3156</v>
      </c>
      <c r="D105" s="65" t="n">
        <v>16957</v>
      </c>
      <c r="E105" s="65" t="n">
        <v>325</v>
      </c>
      <c r="F105" s="65" t="n">
        <v>76</v>
      </c>
    </row>
    <row r="106">
      <c r="A106" s="64" t="n">
        <v>45976</v>
      </c>
      <c r="B106" s="65">
        <f>'⚙ Настройки'!$A$4</f>
        <v/>
      </c>
      <c r="C106" s="66" t="n">
        <v>4485</v>
      </c>
      <c r="D106" s="65" t="n">
        <v>19506</v>
      </c>
      <c r="E106" s="65" t="n">
        <v>401</v>
      </c>
      <c r="F106" s="65" t="n">
        <v>88</v>
      </c>
    </row>
    <row r="107">
      <c r="A107" s="64" t="n">
        <v>45977</v>
      </c>
      <c r="B107" s="65">
        <f>'⚙ Настройки'!$A$2</f>
        <v/>
      </c>
      <c r="C107" s="66" t="n">
        <v>1712</v>
      </c>
      <c r="D107" s="65" t="n">
        <v>9137</v>
      </c>
      <c r="E107" s="65" t="n">
        <v>190</v>
      </c>
      <c r="F107" s="65" t="n">
        <v>36</v>
      </c>
    </row>
    <row r="108">
      <c r="A108" s="64" t="n">
        <v>45977</v>
      </c>
      <c r="B108" s="65">
        <f>'⚙ Настройки'!$A$3</f>
        <v/>
      </c>
      <c r="C108" s="66" t="n">
        <v>2730</v>
      </c>
      <c r="D108" s="65" t="n">
        <v>15089</v>
      </c>
      <c r="E108" s="65" t="n">
        <v>212</v>
      </c>
      <c r="F108" s="65" t="n">
        <v>44</v>
      </c>
    </row>
    <row r="109">
      <c r="A109" s="64" t="n">
        <v>45977</v>
      </c>
      <c r="B109" s="65">
        <f>'⚙ Настройки'!$A$4</f>
        <v/>
      </c>
      <c r="C109" s="66" t="n">
        <v>3948</v>
      </c>
      <c r="D109" s="65" t="n">
        <v>20237</v>
      </c>
      <c r="E109" s="65" t="n">
        <v>300</v>
      </c>
      <c r="F109" s="65" t="n">
        <v>61</v>
      </c>
    </row>
    <row r="110">
      <c r="A110" s="64" t="n">
        <v>45978</v>
      </c>
      <c r="B110" s="65">
        <f>'⚙ Настройки'!$A$2</f>
        <v/>
      </c>
      <c r="C110" s="66" t="n">
        <v>2582</v>
      </c>
      <c r="D110" s="65" t="n">
        <v>12352</v>
      </c>
      <c r="E110" s="65" t="n">
        <v>181</v>
      </c>
      <c r="F110" s="65" t="n">
        <v>111</v>
      </c>
    </row>
    <row r="111">
      <c r="A111" s="64" t="n">
        <v>45978</v>
      </c>
      <c r="B111" s="65">
        <f>'⚙ Настройки'!$A$3</f>
        <v/>
      </c>
      <c r="C111" s="66" t="n">
        <v>3834</v>
      </c>
      <c r="D111" s="65" t="n">
        <v>16111</v>
      </c>
      <c r="E111" s="65" t="n">
        <v>237</v>
      </c>
      <c r="F111" s="65" t="n">
        <v>55</v>
      </c>
    </row>
    <row r="112">
      <c r="A112" s="64" t="n">
        <v>45978</v>
      </c>
      <c r="B112" s="65">
        <f>'⚙ Настройки'!$A$4</f>
        <v/>
      </c>
      <c r="C112" s="66" t="n">
        <v>7865</v>
      </c>
      <c r="D112" s="65" t="n">
        <v>37225</v>
      </c>
      <c r="E112" s="65" t="n">
        <v>656</v>
      </c>
      <c r="F112" s="65" t="n">
        <v>160</v>
      </c>
    </row>
    <row r="113">
      <c r="A113" s="64" t="n">
        <v>45979</v>
      </c>
      <c r="B113" s="65">
        <f>'⚙ Настройки'!$A$2</f>
        <v/>
      </c>
      <c r="C113" s="66" t="n">
        <v>2423</v>
      </c>
      <c r="D113" s="65" t="n">
        <v>12369</v>
      </c>
      <c r="E113" s="65" t="n">
        <v>255</v>
      </c>
      <c r="F113" s="65" t="n">
        <v>97</v>
      </c>
    </row>
    <row r="114">
      <c r="A114" s="64" t="n">
        <v>45979</v>
      </c>
      <c r="B114" s="65">
        <f>'⚙ Настройки'!$A$3</f>
        <v/>
      </c>
      <c r="C114" s="66" t="n">
        <v>3856</v>
      </c>
      <c r="D114" s="65" t="n">
        <v>21296</v>
      </c>
      <c r="E114" s="65" t="n">
        <v>421</v>
      </c>
      <c r="F114" s="65" t="n">
        <v>91</v>
      </c>
    </row>
    <row r="115">
      <c r="A115" s="64" t="n">
        <v>45979</v>
      </c>
      <c r="B115" s="65">
        <f>'⚙ Настройки'!$A$4</f>
        <v/>
      </c>
      <c r="C115" s="66" t="n">
        <v>6481</v>
      </c>
      <c r="D115" s="65" t="n">
        <v>27025</v>
      </c>
      <c r="E115" s="65" t="n">
        <v>529</v>
      </c>
      <c r="F115" s="65" t="n">
        <v>92</v>
      </c>
    </row>
    <row r="116">
      <c r="A116" s="64" t="n">
        <v>45980</v>
      </c>
      <c r="B116" s="65">
        <f>'⚙ Настройки'!$A$2</f>
        <v/>
      </c>
      <c r="C116" s="66" t="n">
        <v>2006</v>
      </c>
      <c r="D116" s="65" t="n">
        <v>8462</v>
      </c>
      <c r="E116" s="65" t="n">
        <v>154</v>
      </c>
      <c r="F116" s="65" t="n">
        <v>82</v>
      </c>
    </row>
    <row r="117">
      <c r="A117" s="64" t="n">
        <v>45980</v>
      </c>
      <c r="B117" s="65">
        <f>'⚙ Настройки'!$A$3</f>
        <v/>
      </c>
      <c r="C117" s="66" t="n">
        <v>5294</v>
      </c>
      <c r="D117" s="65" t="n">
        <v>27682</v>
      </c>
      <c r="E117" s="65" t="n">
        <v>399</v>
      </c>
      <c r="F117" s="65" t="n">
        <v>81</v>
      </c>
    </row>
    <row r="118">
      <c r="A118" s="64" t="n">
        <v>45980</v>
      </c>
      <c r="B118" s="65">
        <f>'⚙ Настройки'!$A$4</f>
        <v/>
      </c>
      <c r="C118" s="66" t="n">
        <v>6773</v>
      </c>
      <c r="D118" s="65" t="n">
        <v>29720</v>
      </c>
      <c r="E118" s="65" t="n">
        <v>596</v>
      </c>
      <c r="F118" s="65" t="n">
        <v>129</v>
      </c>
    </row>
    <row r="119">
      <c r="A119" s="64" t="n">
        <v>45981</v>
      </c>
      <c r="B119" s="65">
        <f>'⚙ Настройки'!$A$2</f>
        <v/>
      </c>
      <c r="C119" s="66" t="n">
        <v>2694</v>
      </c>
      <c r="D119" s="65" t="n">
        <v>14833</v>
      </c>
      <c r="E119" s="65" t="n">
        <v>270</v>
      </c>
      <c r="F119" s="65" t="n">
        <v>57</v>
      </c>
    </row>
    <row r="120">
      <c r="A120" s="64" t="n">
        <v>45981</v>
      </c>
      <c r="B120" s="65">
        <f>'⚙ Настройки'!$A$3</f>
        <v/>
      </c>
      <c r="C120" s="66" t="n">
        <v>5253</v>
      </c>
      <c r="D120" s="65" t="n">
        <v>22708</v>
      </c>
      <c r="E120" s="65" t="n">
        <v>450</v>
      </c>
      <c r="F120" s="65" t="n">
        <v>147</v>
      </c>
    </row>
    <row r="121">
      <c r="A121" s="64" t="n">
        <v>45981</v>
      </c>
      <c r="B121" s="65">
        <f>'⚙ Настройки'!$A$4</f>
        <v/>
      </c>
      <c r="C121" s="66" t="n">
        <v>7474</v>
      </c>
      <c r="D121" s="65" t="n">
        <v>36997</v>
      </c>
      <c r="E121" s="65" t="n">
        <v>672</v>
      </c>
      <c r="F121" s="65" t="n">
        <v>130</v>
      </c>
    </row>
    <row r="122">
      <c r="A122" s="64" t="n">
        <v>45982</v>
      </c>
      <c r="B122" s="65">
        <f>'⚙ Настройки'!$A$2</f>
        <v/>
      </c>
      <c r="C122" s="66" t="n">
        <v>3120</v>
      </c>
      <c r="D122" s="65" t="n">
        <v>14069</v>
      </c>
      <c r="E122" s="65" t="n">
        <v>226</v>
      </c>
      <c r="F122" s="65" t="n">
        <v>103</v>
      </c>
    </row>
    <row r="123">
      <c r="A123" s="64" t="n">
        <v>45982</v>
      </c>
      <c r="B123" s="65">
        <f>'⚙ Настройки'!$A$3</f>
        <v/>
      </c>
      <c r="C123" s="66" t="n">
        <v>5058</v>
      </c>
      <c r="D123" s="65" t="n">
        <v>22727</v>
      </c>
      <c r="E123" s="65" t="n">
        <v>402</v>
      </c>
      <c r="F123" s="65" t="n">
        <v>70</v>
      </c>
    </row>
    <row r="124">
      <c r="A124" s="64" t="n">
        <v>45982</v>
      </c>
      <c r="B124" s="65">
        <f>'⚙ Настройки'!$A$4</f>
        <v/>
      </c>
      <c r="C124" s="66" t="n">
        <v>6421</v>
      </c>
      <c r="D124" s="65" t="n">
        <v>32040</v>
      </c>
      <c r="E124" s="65" t="n">
        <v>546</v>
      </c>
      <c r="F124" s="65" t="n">
        <v>143</v>
      </c>
    </row>
    <row r="125">
      <c r="A125" s="64" t="n">
        <v>45983</v>
      </c>
      <c r="B125" s="65">
        <f>'⚙ Настройки'!$A$2</f>
        <v/>
      </c>
      <c r="C125" s="66" t="n">
        <v>1543</v>
      </c>
      <c r="D125" s="65" t="n">
        <v>6818</v>
      </c>
      <c r="E125" s="65" t="n">
        <v>125</v>
      </c>
      <c r="F125" s="65" t="n">
        <v>37</v>
      </c>
    </row>
    <row r="126">
      <c r="A126" s="64" t="n">
        <v>45983</v>
      </c>
      <c r="B126" s="65">
        <f>'⚙ Настройки'!$A$3</f>
        <v/>
      </c>
      <c r="C126" s="66" t="n">
        <v>2922</v>
      </c>
      <c r="D126" s="65" t="n">
        <v>12285</v>
      </c>
      <c r="E126" s="65" t="n">
        <v>242</v>
      </c>
      <c r="F126" s="65" t="n">
        <v>90</v>
      </c>
    </row>
    <row r="127">
      <c r="A127" s="64" t="n">
        <v>45983</v>
      </c>
      <c r="B127" s="65">
        <f>'⚙ Настройки'!$A$4</f>
        <v/>
      </c>
      <c r="C127" s="66" t="n">
        <v>4092</v>
      </c>
      <c r="D127" s="65" t="n">
        <v>19101</v>
      </c>
      <c r="E127" s="65" t="n">
        <v>276</v>
      </c>
      <c r="F127" s="65" t="n">
        <v>76</v>
      </c>
    </row>
    <row r="128">
      <c r="A128" s="64" t="n">
        <v>45984</v>
      </c>
      <c r="B128" s="65">
        <f>'⚙ Настройки'!$A$2</f>
        <v/>
      </c>
      <c r="C128" s="66" t="n">
        <v>1695</v>
      </c>
      <c r="D128" s="65" t="n">
        <v>8765</v>
      </c>
      <c r="E128" s="65" t="n">
        <v>180</v>
      </c>
      <c r="F128" s="65" t="n">
        <v>36</v>
      </c>
    </row>
    <row r="129">
      <c r="A129" s="64" t="n">
        <v>45984</v>
      </c>
      <c r="B129" s="65">
        <f>'⚙ Настройки'!$A$3</f>
        <v/>
      </c>
      <c r="C129" s="66" t="n">
        <v>2526</v>
      </c>
      <c r="D129" s="65" t="n">
        <v>11532</v>
      </c>
      <c r="E129" s="65" t="n">
        <v>237</v>
      </c>
      <c r="F129" s="65" t="n">
        <v>71</v>
      </c>
    </row>
    <row r="130">
      <c r="A130" s="64" t="n">
        <v>45984</v>
      </c>
      <c r="B130" s="65">
        <f>'⚙ Настройки'!$A$4</f>
        <v/>
      </c>
      <c r="C130" s="66" t="n">
        <v>5344</v>
      </c>
      <c r="D130" s="65" t="n">
        <v>27199</v>
      </c>
      <c r="E130" s="65" t="n">
        <v>451</v>
      </c>
      <c r="F130" s="65" t="n">
        <v>92</v>
      </c>
    </row>
    <row r="131">
      <c r="A131" s="64" t="n">
        <v>45985</v>
      </c>
      <c r="B131" s="65">
        <f>'⚙ Настройки'!$A$2</f>
        <v/>
      </c>
      <c r="C131" s="66" t="n">
        <v>3118</v>
      </c>
      <c r="D131" s="65" t="n">
        <v>13654</v>
      </c>
      <c r="E131" s="65" t="n">
        <v>281</v>
      </c>
      <c r="F131" s="65" t="n">
        <v>77</v>
      </c>
    </row>
    <row r="132">
      <c r="A132" s="64" t="n">
        <v>45985</v>
      </c>
      <c r="B132" s="65">
        <f>'⚙ Настройки'!$A$3</f>
        <v/>
      </c>
      <c r="C132" s="66" t="n">
        <v>4321</v>
      </c>
      <c r="D132" s="65" t="n">
        <v>19310</v>
      </c>
      <c r="E132" s="65" t="n">
        <v>296</v>
      </c>
      <c r="F132" s="65" t="n">
        <v>63</v>
      </c>
    </row>
    <row r="133">
      <c r="A133" s="64" t="n">
        <v>45985</v>
      </c>
      <c r="B133" s="65">
        <f>'⚙ Настройки'!$A$4</f>
        <v/>
      </c>
      <c r="C133" s="66" t="n">
        <v>8043</v>
      </c>
      <c r="D133" s="65" t="n">
        <v>43363</v>
      </c>
      <c r="E133" s="65" t="n">
        <v>828</v>
      </c>
      <c r="F133" s="65" t="n">
        <v>86</v>
      </c>
    </row>
    <row r="134">
      <c r="A134" s="64" t="n">
        <v>45986</v>
      </c>
      <c r="B134" s="65">
        <f>'⚙ Настройки'!$A$2</f>
        <v/>
      </c>
      <c r="C134" s="66" t="n">
        <v>2291</v>
      </c>
      <c r="D134" s="65" t="n">
        <v>10855</v>
      </c>
      <c r="E134" s="65" t="n">
        <v>183</v>
      </c>
      <c r="F134" s="65" t="n">
        <v>108</v>
      </c>
    </row>
    <row r="135">
      <c r="A135" s="64" t="n">
        <v>45986</v>
      </c>
      <c r="B135" s="65">
        <f>'⚙ Настройки'!$A$3</f>
        <v/>
      </c>
      <c r="C135" s="66" t="n">
        <v>4745</v>
      </c>
      <c r="D135" s="65" t="n">
        <v>25846</v>
      </c>
      <c r="E135" s="65" t="n">
        <v>438</v>
      </c>
      <c r="F135" s="65" t="n">
        <v>84</v>
      </c>
    </row>
    <row r="136">
      <c r="A136" s="64" t="n">
        <v>45986</v>
      </c>
      <c r="B136" s="65">
        <f>'⚙ Настройки'!$A$4</f>
        <v/>
      </c>
      <c r="C136" s="66" t="n">
        <v>5871</v>
      </c>
      <c r="D136" s="65" t="n">
        <v>28585</v>
      </c>
      <c r="E136" s="65" t="n">
        <v>581</v>
      </c>
      <c r="F136" s="65" t="n">
        <v>74</v>
      </c>
    </row>
    <row r="137">
      <c r="A137" s="64" t="n">
        <v>45987</v>
      </c>
      <c r="B137" s="65">
        <f>'⚙ Настройки'!$A$2</f>
        <v/>
      </c>
      <c r="C137" s="66" t="n">
        <v>2030</v>
      </c>
      <c r="D137" s="65" t="n">
        <v>10317</v>
      </c>
      <c r="E137" s="65" t="n">
        <v>166</v>
      </c>
      <c r="F137" s="65" t="n">
        <v>52</v>
      </c>
    </row>
    <row r="138">
      <c r="A138" s="64" t="n">
        <v>45987</v>
      </c>
      <c r="B138" s="65">
        <f>'⚙ Настройки'!$A$3</f>
        <v/>
      </c>
      <c r="C138" s="66" t="n">
        <v>4637</v>
      </c>
      <c r="D138" s="65" t="n">
        <v>21019</v>
      </c>
      <c r="E138" s="65" t="n">
        <v>319</v>
      </c>
      <c r="F138" s="65" t="n">
        <v>70</v>
      </c>
    </row>
    <row r="139">
      <c r="A139" s="64" t="n">
        <v>45987</v>
      </c>
      <c r="B139" s="65">
        <f>'⚙ Настройки'!$A$4</f>
        <v/>
      </c>
      <c r="C139" s="66" t="n">
        <v>6466</v>
      </c>
      <c r="D139" s="65" t="n">
        <v>35404</v>
      </c>
      <c r="E139" s="65" t="n">
        <v>621</v>
      </c>
      <c r="F139" s="65" t="n">
        <v>99</v>
      </c>
    </row>
    <row r="140">
      <c r="A140" s="64" t="n">
        <v>45988</v>
      </c>
      <c r="B140" s="65">
        <f>'⚙ Настройки'!$A$2</f>
        <v/>
      </c>
      <c r="C140" s="66" t="n">
        <v>3268</v>
      </c>
      <c r="D140" s="65" t="n">
        <v>15800</v>
      </c>
      <c r="E140" s="65" t="n">
        <v>340</v>
      </c>
      <c r="F140" s="65" t="n">
        <v>69</v>
      </c>
    </row>
    <row r="141">
      <c r="A141" s="64" t="n">
        <v>45988</v>
      </c>
      <c r="B141" s="65">
        <f>'⚙ Настройки'!$A$3</f>
        <v/>
      </c>
      <c r="C141" s="66" t="n">
        <v>4462</v>
      </c>
      <c r="D141" s="65" t="n">
        <v>20403</v>
      </c>
      <c r="E141" s="65" t="n">
        <v>388</v>
      </c>
      <c r="F141" s="65" t="n">
        <v>90</v>
      </c>
    </row>
    <row r="142">
      <c r="A142" s="64" t="n">
        <v>45988</v>
      </c>
      <c r="B142" s="65">
        <f>'⚙ Настройки'!$A$4</f>
        <v/>
      </c>
      <c r="C142" s="66" t="n">
        <v>7654</v>
      </c>
      <c r="D142" s="65" t="n">
        <v>38712</v>
      </c>
      <c r="E142" s="65" t="n">
        <v>668</v>
      </c>
      <c r="F142" s="65" t="n">
        <v>94</v>
      </c>
    </row>
    <row r="143">
      <c r="A143" s="64" t="n">
        <v>45989</v>
      </c>
      <c r="B143" s="65">
        <f>'⚙ Настройки'!$A$2</f>
        <v/>
      </c>
      <c r="C143" s="66" t="n">
        <v>3271</v>
      </c>
      <c r="D143" s="65" t="n">
        <v>16203</v>
      </c>
      <c r="E143" s="65" t="n">
        <v>255</v>
      </c>
      <c r="F143" s="65" t="n">
        <v>123</v>
      </c>
    </row>
    <row r="144">
      <c r="A144" s="64" t="n">
        <v>45989</v>
      </c>
      <c r="B144" s="65">
        <f>'⚙ Настройки'!$A$3</f>
        <v/>
      </c>
      <c r="C144" s="66" t="n">
        <v>4522</v>
      </c>
      <c r="D144" s="65" t="n">
        <v>19905</v>
      </c>
      <c r="E144" s="65" t="n">
        <v>429</v>
      </c>
      <c r="F144" s="65" t="n">
        <v>69</v>
      </c>
    </row>
    <row r="145">
      <c r="A145" s="64" t="n">
        <v>45989</v>
      </c>
      <c r="B145" s="65">
        <f>'⚙ Настройки'!$A$4</f>
        <v/>
      </c>
      <c r="C145" s="66" t="n">
        <v>8004</v>
      </c>
      <c r="D145" s="65" t="n">
        <v>39793</v>
      </c>
      <c r="E145" s="65" t="n">
        <v>680</v>
      </c>
      <c r="F145" s="65" t="n">
        <v>104</v>
      </c>
    </row>
    <row r="146">
      <c r="A146" s="64" t="n">
        <v>45990</v>
      </c>
      <c r="B146" s="65">
        <f>'⚙ Настройки'!$A$2</f>
        <v/>
      </c>
      <c r="C146" s="66" t="n">
        <v>1584</v>
      </c>
      <c r="D146" s="65" t="n">
        <v>8239</v>
      </c>
      <c r="E146" s="65" t="n">
        <v>156</v>
      </c>
      <c r="F146" s="65" t="n">
        <v>35</v>
      </c>
    </row>
    <row r="147">
      <c r="A147" s="64" t="n">
        <v>45990</v>
      </c>
      <c r="B147" s="65">
        <f>'⚙ Настройки'!$A$3</f>
        <v/>
      </c>
      <c r="C147" s="66" t="n">
        <v>3474</v>
      </c>
      <c r="D147" s="65" t="n">
        <v>17586</v>
      </c>
      <c r="E147" s="65" t="n">
        <v>255</v>
      </c>
      <c r="F147" s="65" t="n">
        <v>47</v>
      </c>
    </row>
    <row r="148">
      <c r="A148" s="64" t="n">
        <v>45990</v>
      </c>
      <c r="B148" s="65">
        <f>'⚙ Настройки'!$A$4</f>
        <v/>
      </c>
      <c r="C148" s="66" t="n">
        <v>5887</v>
      </c>
      <c r="D148" s="65" t="n">
        <v>30742</v>
      </c>
      <c r="E148" s="65" t="n">
        <v>669</v>
      </c>
      <c r="F148" s="65" t="n">
        <v>69</v>
      </c>
    </row>
    <row r="149">
      <c r="A149" s="64" t="n">
        <v>45991</v>
      </c>
      <c r="B149" s="65">
        <f>'⚙ Настройки'!$A$2</f>
        <v/>
      </c>
      <c r="C149" s="66" t="n">
        <v>2188</v>
      </c>
      <c r="D149" s="65" t="n">
        <v>10481</v>
      </c>
      <c r="E149" s="65" t="n">
        <v>201</v>
      </c>
      <c r="F149" s="65" t="n">
        <v>52</v>
      </c>
    </row>
    <row r="150">
      <c r="A150" s="64" t="n">
        <v>45991</v>
      </c>
      <c r="B150" s="65">
        <f>'⚙ Настройки'!$A$3</f>
        <v/>
      </c>
      <c r="C150" s="66" t="n">
        <v>3708</v>
      </c>
      <c r="D150" s="65" t="n">
        <v>16147</v>
      </c>
      <c r="E150" s="65" t="n">
        <v>269</v>
      </c>
      <c r="F150" s="65" t="n">
        <v>64</v>
      </c>
    </row>
    <row r="151">
      <c r="A151" s="64" t="n">
        <v>45991</v>
      </c>
      <c r="B151" s="65">
        <f>'⚙ Настройки'!$A$4</f>
        <v/>
      </c>
      <c r="C151" s="66" t="n">
        <v>4551</v>
      </c>
      <c r="D151" s="65" t="n">
        <v>20692</v>
      </c>
      <c r="E151" s="65" t="n">
        <v>344</v>
      </c>
      <c r="F151" s="65" t="n">
        <v>96</v>
      </c>
    </row>
    <row r="152">
      <c r="A152" s="64" t="n">
        <v>45992</v>
      </c>
      <c r="B152" s="65">
        <f>'⚙ Настройки'!$A$2</f>
        <v/>
      </c>
      <c r="C152" s="66" t="n">
        <v>2119</v>
      </c>
      <c r="D152" s="65" t="n">
        <v>9648</v>
      </c>
      <c r="E152" s="65" t="n">
        <v>205</v>
      </c>
      <c r="F152" s="65" t="n">
        <v>51</v>
      </c>
    </row>
    <row r="153">
      <c r="A153" s="64" t="n">
        <v>45992</v>
      </c>
      <c r="B153" s="65">
        <f>'⚙ Настройки'!$A$3</f>
        <v/>
      </c>
      <c r="C153" s="66" t="n">
        <v>5964</v>
      </c>
      <c r="D153" s="65" t="n">
        <v>25944</v>
      </c>
      <c r="E153" s="65" t="n">
        <v>488</v>
      </c>
      <c r="F153" s="65" t="n">
        <v>132</v>
      </c>
    </row>
    <row r="154">
      <c r="A154" s="64" t="n">
        <v>45992</v>
      </c>
      <c r="B154" s="65">
        <f>'⚙ Настройки'!$A$4</f>
        <v/>
      </c>
      <c r="C154" s="66" t="n">
        <v>7844</v>
      </c>
      <c r="D154" s="65" t="n">
        <v>38685</v>
      </c>
      <c r="E154" s="65" t="n">
        <v>704</v>
      </c>
      <c r="F154" s="65" t="n">
        <v>108</v>
      </c>
    </row>
    <row r="155">
      <c r="A155" s="64" t="n">
        <v>45993</v>
      </c>
      <c r="B155" s="65">
        <f>'⚙ Настройки'!$A$2</f>
        <v/>
      </c>
      <c r="C155" s="66" t="n">
        <v>3013</v>
      </c>
      <c r="D155" s="65" t="n">
        <v>14438</v>
      </c>
      <c r="E155" s="65" t="n">
        <v>223</v>
      </c>
      <c r="F155" s="65" t="n">
        <v>72</v>
      </c>
    </row>
    <row r="156">
      <c r="A156" s="64" t="n">
        <v>45993</v>
      </c>
      <c r="B156" s="65">
        <f>'⚙ Настройки'!$A$3</f>
        <v/>
      </c>
      <c r="C156" s="66" t="n">
        <v>4648</v>
      </c>
      <c r="D156" s="65" t="n">
        <v>19924</v>
      </c>
      <c r="E156" s="65" t="n">
        <v>339</v>
      </c>
      <c r="F156" s="65" t="n">
        <v>76</v>
      </c>
    </row>
    <row r="157">
      <c r="A157" s="64" t="n">
        <v>45993</v>
      </c>
      <c r="B157" s="65">
        <f>'⚙ Настройки'!$A$4</f>
        <v/>
      </c>
      <c r="C157" s="66" t="n">
        <v>8360</v>
      </c>
      <c r="D157" s="65" t="n">
        <v>37086</v>
      </c>
      <c r="E157" s="65" t="n">
        <v>527</v>
      </c>
      <c r="F157" s="65" t="n">
        <v>107</v>
      </c>
    </row>
    <row r="158">
      <c r="A158" s="64" t="n">
        <v>45994</v>
      </c>
      <c r="B158" s="65">
        <f>'⚙ Настройки'!$A$2</f>
        <v/>
      </c>
      <c r="C158" s="66" t="n">
        <v>2457</v>
      </c>
      <c r="D158" s="65" t="n">
        <v>10774</v>
      </c>
      <c r="E158" s="65" t="n">
        <v>235</v>
      </c>
      <c r="F158" s="65" t="n">
        <v>79</v>
      </c>
    </row>
    <row r="159">
      <c r="A159" s="64" t="n">
        <v>45994</v>
      </c>
      <c r="B159" s="65">
        <f>'⚙ Настройки'!$A$3</f>
        <v/>
      </c>
      <c r="C159" s="66" t="n">
        <v>5072</v>
      </c>
      <c r="D159" s="65" t="n">
        <v>21697</v>
      </c>
      <c r="E159" s="65" t="n">
        <v>444</v>
      </c>
      <c r="F159" s="65" t="n">
        <v>116</v>
      </c>
    </row>
    <row r="160">
      <c r="A160" s="64" t="n">
        <v>45994</v>
      </c>
      <c r="B160" s="65">
        <f>'⚙ Настройки'!$A$4</f>
        <v/>
      </c>
      <c r="C160" s="66" t="n">
        <v>6841</v>
      </c>
      <c r="D160" s="65" t="n">
        <v>32932</v>
      </c>
      <c r="E160" s="65" t="n">
        <v>682</v>
      </c>
      <c r="F160" s="65" t="n">
        <v>101</v>
      </c>
    </row>
    <row r="161">
      <c r="A161" s="64" t="n">
        <v>45995</v>
      </c>
      <c r="B161" s="65">
        <f>'⚙ Настройки'!$A$2</f>
        <v/>
      </c>
      <c r="C161" s="66" t="n">
        <v>2553</v>
      </c>
      <c r="D161" s="65" t="n">
        <v>10781</v>
      </c>
      <c r="E161" s="65" t="n">
        <v>213</v>
      </c>
      <c r="F161" s="65" t="n">
        <v>103</v>
      </c>
    </row>
    <row r="162">
      <c r="A162" s="64" t="n">
        <v>45995</v>
      </c>
      <c r="B162" s="65">
        <f>'⚙ Настройки'!$A$3</f>
        <v/>
      </c>
      <c r="C162" s="66" t="n">
        <v>3629</v>
      </c>
      <c r="D162" s="65" t="n">
        <v>18536</v>
      </c>
      <c r="E162" s="65" t="n">
        <v>322</v>
      </c>
      <c r="F162" s="65" t="n">
        <v>64</v>
      </c>
    </row>
    <row r="163">
      <c r="A163" s="64" t="n">
        <v>45995</v>
      </c>
      <c r="B163" s="65">
        <f>'⚙ Настройки'!$A$4</f>
        <v/>
      </c>
      <c r="C163" s="66" t="n">
        <v>6889</v>
      </c>
      <c r="D163" s="65" t="n">
        <v>29513</v>
      </c>
      <c r="E163" s="65" t="n">
        <v>517</v>
      </c>
      <c r="F163" s="65" t="n">
        <v>96</v>
      </c>
    </row>
    <row r="164">
      <c r="A164" s="64" t="n">
        <v>45996</v>
      </c>
      <c r="B164" s="65">
        <f>'⚙ Настройки'!$A$2</f>
        <v/>
      </c>
      <c r="C164" s="66" t="n">
        <v>2187</v>
      </c>
      <c r="D164" s="65" t="n">
        <v>11567</v>
      </c>
      <c r="E164" s="65" t="n">
        <v>246</v>
      </c>
      <c r="F164" s="65" t="n">
        <v>52</v>
      </c>
    </row>
    <row r="165">
      <c r="A165" s="64" t="n">
        <v>45996</v>
      </c>
      <c r="B165" s="65">
        <f>'⚙ Настройки'!$A$3</f>
        <v/>
      </c>
      <c r="C165" s="66" t="n">
        <v>5604</v>
      </c>
      <c r="D165" s="65" t="n">
        <v>24026</v>
      </c>
      <c r="E165" s="65" t="n">
        <v>344</v>
      </c>
      <c r="F165" s="65" t="n">
        <v>83</v>
      </c>
    </row>
    <row r="166">
      <c r="A166" s="64" t="n">
        <v>45996</v>
      </c>
      <c r="B166" s="65">
        <f>'⚙ Настройки'!$A$4</f>
        <v/>
      </c>
      <c r="C166" s="66" t="n">
        <v>7031</v>
      </c>
      <c r="D166" s="65" t="n">
        <v>30639</v>
      </c>
      <c r="E166" s="65" t="n">
        <v>593</v>
      </c>
      <c r="F166" s="65" t="n">
        <v>82</v>
      </c>
    </row>
    <row r="167">
      <c r="A167" s="64" t="n">
        <v>45997</v>
      </c>
      <c r="B167" s="65">
        <f>'⚙ Настройки'!$A$2</f>
        <v/>
      </c>
      <c r="C167" s="66" t="n">
        <v>1551</v>
      </c>
      <c r="D167" s="65" t="n">
        <v>6756</v>
      </c>
      <c r="E167" s="65" t="n">
        <v>148</v>
      </c>
      <c r="F167" s="65" t="n">
        <v>41</v>
      </c>
    </row>
    <row r="168">
      <c r="A168" s="64" t="n">
        <v>45997</v>
      </c>
      <c r="B168" s="65">
        <f>'⚙ Настройки'!$A$3</f>
        <v/>
      </c>
      <c r="C168" s="66" t="n">
        <v>3920</v>
      </c>
      <c r="D168" s="65" t="n">
        <v>16894</v>
      </c>
      <c r="E168" s="65" t="n">
        <v>314</v>
      </c>
      <c r="F168" s="65" t="n">
        <v>90</v>
      </c>
    </row>
    <row r="169">
      <c r="A169" s="64" t="n">
        <v>45997</v>
      </c>
      <c r="B169" s="65">
        <f>'⚙ Настройки'!$A$4</f>
        <v/>
      </c>
      <c r="C169" s="66" t="n">
        <v>4658</v>
      </c>
      <c r="D169" s="65" t="n">
        <v>25532</v>
      </c>
      <c r="E169" s="65" t="n">
        <v>496</v>
      </c>
      <c r="F169" s="65" t="n">
        <v>62</v>
      </c>
    </row>
    <row r="170">
      <c r="A170" s="64" t="n">
        <v>45998</v>
      </c>
      <c r="B170" s="65">
        <f>'⚙ Настройки'!$A$2</f>
        <v/>
      </c>
      <c r="C170" s="66" t="n">
        <v>1746</v>
      </c>
      <c r="D170" s="65" t="n">
        <v>8200</v>
      </c>
      <c r="E170" s="65" t="n">
        <v>123</v>
      </c>
      <c r="F170" s="65" t="n">
        <v>85</v>
      </c>
    </row>
    <row r="171">
      <c r="A171" s="64" t="n">
        <v>45998</v>
      </c>
      <c r="B171" s="65">
        <f>'⚙ Настройки'!$A$3</f>
        <v/>
      </c>
      <c r="C171" s="66" t="n">
        <v>3992</v>
      </c>
      <c r="D171" s="65" t="n">
        <v>17476</v>
      </c>
      <c r="E171" s="65" t="n">
        <v>340</v>
      </c>
      <c r="F171" s="65" t="n">
        <v>57</v>
      </c>
    </row>
    <row r="172">
      <c r="A172" s="64" t="n">
        <v>45998</v>
      </c>
      <c r="B172" s="65">
        <f>'⚙ Настройки'!$A$4</f>
        <v/>
      </c>
      <c r="C172" s="66" t="n">
        <v>5566</v>
      </c>
      <c r="D172" s="65" t="n">
        <v>24607</v>
      </c>
      <c r="E172" s="65" t="n">
        <v>368</v>
      </c>
      <c r="F172" s="65" t="n">
        <v>99</v>
      </c>
    </row>
    <row r="173">
      <c r="A173" s="64" t="n">
        <v>45999</v>
      </c>
      <c r="B173" s="65">
        <f>'⚙ Настройки'!$A$2</f>
        <v/>
      </c>
      <c r="C173" s="66" t="n">
        <v>3334</v>
      </c>
      <c r="D173" s="65" t="n">
        <v>15225</v>
      </c>
      <c r="E173" s="65" t="n">
        <v>277</v>
      </c>
      <c r="F173" s="65" t="n">
        <v>73</v>
      </c>
    </row>
    <row r="174">
      <c r="A174" s="64" t="n">
        <v>45999</v>
      </c>
      <c r="B174" s="65">
        <f>'⚙ Настройки'!$A$3</f>
        <v/>
      </c>
      <c r="C174" s="66" t="n">
        <v>4486</v>
      </c>
      <c r="D174" s="65" t="n">
        <v>24235</v>
      </c>
      <c r="E174" s="65" t="n">
        <v>447</v>
      </c>
      <c r="F174" s="65" t="n">
        <v>68</v>
      </c>
    </row>
    <row r="175">
      <c r="A175" s="64" t="n">
        <v>45999</v>
      </c>
      <c r="B175" s="65">
        <f>'⚙ Настройки'!$A$4</f>
        <v/>
      </c>
      <c r="C175" s="66" t="n">
        <v>5533</v>
      </c>
      <c r="D175" s="65" t="n">
        <v>24156</v>
      </c>
      <c r="E175" s="65" t="n">
        <v>358</v>
      </c>
      <c r="F175" s="65" t="n">
        <v>114</v>
      </c>
    </row>
    <row r="176">
      <c r="A176" s="64" t="n">
        <v>46000</v>
      </c>
      <c r="B176" s="65">
        <f>'⚙ Настройки'!$A$2</f>
        <v/>
      </c>
      <c r="C176" s="66" t="n">
        <v>2613</v>
      </c>
      <c r="D176" s="65" t="n">
        <v>11248</v>
      </c>
      <c r="E176" s="65" t="n">
        <v>232</v>
      </c>
      <c r="F176" s="65" t="n">
        <v>101</v>
      </c>
    </row>
    <row r="177">
      <c r="A177" s="64" t="n">
        <v>46000</v>
      </c>
      <c r="B177" s="65">
        <f>'⚙ Настройки'!$A$3</f>
        <v/>
      </c>
      <c r="C177" s="66" t="n">
        <v>4135</v>
      </c>
      <c r="D177" s="65" t="n">
        <v>18377</v>
      </c>
      <c r="E177" s="65" t="n">
        <v>394</v>
      </c>
      <c r="F177" s="65" t="n">
        <v>99</v>
      </c>
    </row>
    <row r="178">
      <c r="A178" s="64" t="n">
        <v>46000</v>
      </c>
      <c r="B178" s="65">
        <f>'⚙ Настройки'!$A$4</f>
        <v/>
      </c>
      <c r="C178" s="66" t="n">
        <v>7915</v>
      </c>
      <c r="D178" s="65" t="n">
        <v>37009</v>
      </c>
      <c r="E178" s="65" t="n">
        <v>534</v>
      </c>
      <c r="F178" s="65" t="n">
        <v>96</v>
      </c>
    </row>
    <row r="179">
      <c r="A179" s="64" t="n">
        <v>46001</v>
      </c>
      <c r="B179" s="65">
        <f>'⚙ Настройки'!$A$2</f>
        <v/>
      </c>
      <c r="C179" s="66" t="n">
        <v>2370</v>
      </c>
      <c r="D179" s="65" t="n">
        <v>11995</v>
      </c>
      <c r="E179" s="65" t="n">
        <v>191</v>
      </c>
      <c r="F179" s="65" t="n">
        <v>66</v>
      </c>
    </row>
    <row r="180">
      <c r="A180" s="64" t="n">
        <v>46001</v>
      </c>
      <c r="B180" s="65">
        <f>'⚙ Настройки'!$A$3</f>
        <v/>
      </c>
      <c r="C180" s="66" t="n">
        <v>5130</v>
      </c>
      <c r="D180" s="65" t="n">
        <v>23248</v>
      </c>
      <c r="E180" s="65" t="n">
        <v>412</v>
      </c>
      <c r="F180" s="65" t="n">
        <v>127</v>
      </c>
    </row>
    <row r="181">
      <c r="A181" s="64" t="n">
        <v>46001</v>
      </c>
      <c r="B181" s="65">
        <f>'⚙ Настройки'!$A$4</f>
        <v/>
      </c>
      <c r="C181" s="66" t="n">
        <v>7777</v>
      </c>
      <c r="D181" s="65" t="n">
        <v>37216</v>
      </c>
      <c r="E181" s="65" t="n">
        <v>537</v>
      </c>
      <c r="F181" s="65" t="n">
        <v>94</v>
      </c>
    </row>
    <row r="182">
      <c r="A182" s="64" t="n">
        <v>46002</v>
      </c>
      <c r="B182" s="65">
        <f>'⚙ Настройки'!$A$2</f>
        <v/>
      </c>
      <c r="C182" s="66" t="n">
        <v>2383</v>
      </c>
      <c r="D182" s="65" t="n">
        <v>11616</v>
      </c>
      <c r="E182" s="65" t="n">
        <v>175</v>
      </c>
      <c r="F182" s="65" t="n">
        <v>53</v>
      </c>
    </row>
    <row r="183">
      <c r="A183" s="64" t="n">
        <v>46002</v>
      </c>
      <c r="B183" s="65">
        <f>'⚙ Настройки'!$A$3</f>
        <v/>
      </c>
      <c r="C183" s="66" t="n">
        <v>4278</v>
      </c>
      <c r="D183" s="65" t="n">
        <v>19008</v>
      </c>
      <c r="E183" s="65" t="n">
        <v>386</v>
      </c>
      <c r="F183" s="65" t="n">
        <v>84</v>
      </c>
    </row>
    <row r="184">
      <c r="A184" s="64" t="n">
        <v>46002</v>
      </c>
      <c r="B184" s="65">
        <f>'⚙ Настройки'!$A$4</f>
        <v/>
      </c>
      <c r="C184" s="66" t="n">
        <v>6754</v>
      </c>
      <c r="D184" s="65" t="n">
        <v>31409</v>
      </c>
      <c r="E184" s="65" t="n">
        <v>691</v>
      </c>
      <c r="F184" s="65" t="n">
        <v>75</v>
      </c>
    </row>
    <row r="185">
      <c r="A185" s="64" t="n">
        <v>46003</v>
      </c>
      <c r="B185" s="65">
        <f>'⚙ Настройки'!$A$2</f>
        <v/>
      </c>
      <c r="C185" s="66" t="n">
        <v>2514</v>
      </c>
      <c r="D185" s="65" t="n">
        <v>12116</v>
      </c>
      <c r="E185" s="65" t="n">
        <v>226</v>
      </c>
      <c r="F185" s="65" t="n">
        <v>57</v>
      </c>
    </row>
    <row r="186">
      <c r="A186" s="64" t="n">
        <v>46003</v>
      </c>
      <c r="B186" s="65">
        <f>'⚙ Настройки'!$A$3</f>
        <v/>
      </c>
      <c r="C186" s="66" t="n">
        <v>3876</v>
      </c>
      <c r="D186" s="65" t="n">
        <v>16971</v>
      </c>
      <c r="E186" s="65" t="n">
        <v>342</v>
      </c>
      <c r="F186" s="65" t="n">
        <v>93</v>
      </c>
    </row>
    <row r="187">
      <c r="A187" s="64" t="n">
        <v>46003</v>
      </c>
      <c r="B187" s="65">
        <f>'⚙ Настройки'!$A$4</f>
        <v/>
      </c>
      <c r="C187" s="66" t="n">
        <v>8363</v>
      </c>
      <c r="D187" s="65" t="n">
        <v>44312</v>
      </c>
      <c r="E187" s="65" t="n">
        <v>739</v>
      </c>
      <c r="F187" s="65" t="n">
        <v>114</v>
      </c>
    </row>
    <row r="188">
      <c r="A188" s="64" t="n">
        <v>46004</v>
      </c>
      <c r="B188" s="65">
        <f>'⚙ Настройки'!$A$2</f>
        <v/>
      </c>
      <c r="C188" s="66" t="n">
        <v>1826</v>
      </c>
      <c r="D188" s="65" t="n">
        <v>7768</v>
      </c>
      <c r="E188" s="65" t="n">
        <v>140</v>
      </c>
      <c r="F188" s="65" t="n">
        <v>53</v>
      </c>
    </row>
    <row r="189">
      <c r="A189" s="64" t="n">
        <v>46004</v>
      </c>
      <c r="B189" s="65">
        <f>'⚙ Настройки'!$A$3</f>
        <v/>
      </c>
      <c r="C189" s="66" t="n">
        <v>3558</v>
      </c>
      <c r="D189" s="65" t="n">
        <v>15217</v>
      </c>
      <c r="E189" s="65" t="n">
        <v>321</v>
      </c>
      <c r="F189" s="65" t="n">
        <v>66</v>
      </c>
    </row>
    <row r="190">
      <c r="A190" s="64" t="n">
        <v>46004</v>
      </c>
      <c r="B190" s="65">
        <f>'⚙ Настройки'!$A$4</f>
        <v/>
      </c>
      <c r="C190" s="66" t="n">
        <v>3722</v>
      </c>
      <c r="D190" s="65" t="n">
        <v>15552</v>
      </c>
      <c r="E190" s="65" t="n">
        <v>252</v>
      </c>
      <c r="F190" s="65" t="n">
        <v>64</v>
      </c>
    </row>
    <row r="191">
      <c r="A191" s="64" t="n">
        <v>46005</v>
      </c>
      <c r="B191" s="65">
        <f>'⚙ Настройки'!$A$2</f>
        <v/>
      </c>
      <c r="C191" s="66" t="n">
        <v>1926</v>
      </c>
      <c r="D191" s="65" t="n">
        <v>10634</v>
      </c>
      <c r="E191" s="65" t="n">
        <v>186</v>
      </c>
      <c r="F191" s="65" t="n">
        <v>77</v>
      </c>
    </row>
    <row r="192">
      <c r="A192" s="64" t="n">
        <v>46005</v>
      </c>
      <c r="B192" s="65">
        <f>'⚙ Настройки'!$A$3</f>
        <v/>
      </c>
      <c r="C192" s="66" t="n">
        <v>3386</v>
      </c>
      <c r="D192" s="65" t="n">
        <v>15723</v>
      </c>
      <c r="E192" s="65" t="n">
        <v>244</v>
      </c>
      <c r="F192" s="65" t="n">
        <v>85</v>
      </c>
    </row>
    <row r="193">
      <c r="A193" s="64" t="n">
        <v>46005</v>
      </c>
      <c r="B193" s="65">
        <f>'⚙ Настройки'!$A$4</f>
        <v/>
      </c>
      <c r="C193" s="66" t="n">
        <v>4486</v>
      </c>
      <c r="D193" s="65" t="n">
        <v>22970</v>
      </c>
      <c r="E193" s="65" t="n">
        <v>479</v>
      </c>
      <c r="F193" s="65" t="n">
        <v>60</v>
      </c>
    </row>
    <row r="194">
      <c r="A194" s="64" t="n">
        <v>46006</v>
      </c>
      <c r="B194" s="65">
        <f>'⚙ Настройки'!$A$2</f>
        <v/>
      </c>
      <c r="C194" s="66" t="n">
        <v>2047</v>
      </c>
      <c r="D194" s="65" t="n">
        <v>8980</v>
      </c>
      <c r="E194" s="65" t="n">
        <v>138</v>
      </c>
      <c r="F194" s="65" t="n">
        <v>62</v>
      </c>
    </row>
    <row r="195">
      <c r="A195" s="64" t="n">
        <v>46006</v>
      </c>
      <c r="B195" s="65">
        <f>'⚙ Настройки'!$A$3</f>
        <v/>
      </c>
      <c r="C195" s="66" t="n">
        <v>4118</v>
      </c>
      <c r="D195" s="65" t="n">
        <v>18544</v>
      </c>
      <c r="E195" s="65" t="n">
        <v>313</v>
      </c>
      <c r="F195" s="65" t="n">
        <v>74</v>
      </c>
    </row>
    <row r="196">
      <c r="A196" s="64" t="n">
        <v>46006</v>
      </c>
      <c r="B196" s="65">
        <f>'⚙ Настройки'!$A$4</f>
        <v/>
      </c>
      <c r="C196" s="66" t="n">
        <v>7118</v>
      </c>
      <c r="D196" s="65" t="n">
        <v>34686</v>
      </c>
      <c r="E196" s="65" t="n">
        <v>500</v>
      </c>
      <c r="F196" s="65" t="n">
        <v>117</v>
      </c>
    </row>
    <row r="197">
      <c r="A197" s="64" t="n">
        <v>46007</v>
      </c>
      <c r="B197" s="65">
        <f>'⚙ Настройки'!$A$2</f>
        <v/>
      </c>
      <c r="C197" s="66" t="n">
        <v>3033</v>
      </c>
      <c r="D197" s="65" t="n">
        <v>14214</v>
      </c>
      <c r="E197" s="65" t="n">
        <v>236</v>
      </c>
      <c r="F197" s="65" t="n">
        <v>89</v>
      </c>
    </row>
    <row r="198">
      <c r="A198" s="64" t="n">
        <v>46007</v>
      </c>
      <c r="B198" s="65">
        <f>'⚙ Настройки'!$A$3</f>
        <v/>
      </c>
      <c r="C198" s="66" t="n">
        <v>4668</v>
      </c>
      <c r="D198" s="65" t="n">
        <v>22120</v>
      </c>
      <c r="E198" s="65" t="n">
        <v>336</v>
      </c>
      <c r="F198" s="65" t="n">
        <v>139</v>
      </c>
    </row>
    <row r="199">
      <c r="A199" s="64" t="n">
        <v>46007</v>
      </c>
      <c r="B199" s="65">
        <f>'⚙ Настройки'!$A$4</f>
        <v/>
      </c>
      <c r="C199" s="66" t="n">
        <v>8387</v>
      </c>
      <c r="D199" s="65" t="n">
        <v>36766</v>
      </c>
      <c r="E199" s="65" t="n">
        <v>767</v>
      </c>
      <c r="F199" s="65" t="n">
        <v>145</v>
      </c>
    </row>
    <row r="200">
      <c r="A200" s="64" t="n">
        <v>46008</v>
      </c>
      <c r="B200" s="65">
        <f>'⚙ Настройки'!$A$2</f>
        <v/>
      </c>
      <c r="C200" s="66" t="n">
        <v>2805</v>
      </c>
      <c r="D200" s="65" t="n">
        <v>12354</v>
      </c>
      <c r="E200" s="65" t="n">
        <v>183</v>
      </c>
      <c r="F200" s="65" t="n">
        <v>80</v>
      </c>
    </row>
    <row r="201">
      <c r="A201" s="64" t="n">
        <v>46008</v>
      </c>
      <c r="B201" s="65">
        <f>'⚙ Настройки'!$A$3</f>
        <v/>
      </c>
      <c r="C201" s="66" t="n">
        <v>6134</v>
      </c>
      <c r="D201" s="65" t="n">
        <v>30300</v>
      </c>
      <c r="E201" s="65" t="n">
        <v>450</v>
      </c>
      <c r="F201" s="65" t="n">
        <v>105</v>
      </c>
    </row>
    <row r="202">
      <c r="A202" s="64" t="n">
        <v>46008</v>
      </c>
      <c r="B202" s="65">
        <f>'⚙ Настройки'!$A$4</f>
        <v/>
      </c>
      <c r="C202" s="66" t="n">
        <v>6039</v>
      </c>
      <c r="D202" s="65" t="n">
        <v>32977</v>
      </c>
      <c r="E202" s="65" t="n">
        <v>603</v>
      </c>
      <c r="F202" s="65" t="n">
        <v>94</v>
      </c>
    </row>
    <row r="203">
      <c r="A203" s="64" t="n">
        <v>46009</v>
      </c>
      <c r="B203" s="65">
        <f>'⚙ Настройки'!$A$2</f>
        <v/>
      </c>
      <c r="C203" s="66" t="n">
        <v>2389</v>
      </c>
      <c r="D203" s="65" t="n">
        <v>12151</v>
      </c>
      <c r="E203" s="65" t="n">
        <v>245</v>
      </c>
      <c r="F203" s="65" t="n">
        <v>71</v>
      </c>
    </row>
    <row r="204">
      <c r="A204" s="64" t="n">
        <v>46009</v>
      </c>
      <c r="B204" s="65">
        <f>'⚙ Настройки'!$A$3</f>
        <v/>
      </c>
      <c r="C204" s="66" t="n">
        <v>5626</v>
      </c>
      <c r="D204" s="65" t="n">
        <v>29709</v>
      </c>
      <c r="E204" s="65" t="n">
        <v>558</v>
      </c>
      <c r="F204" s="65" t="n">
        <v>122</v>
      </c>
    </row>
    <row r="205">
      <c r="A205" s="64" t="n">
        <v>46009</v>
      </c>
      <c r="B205" s="65">
        <f>'⚙ Настройки'!$A$4</f>
        <v/>
      </c>
      <c r="C205" s="66" t="n">
        <v>6978</v>
      </c>
      <c r="D205" s="65" t="n">
        <v>33333</v>
      </c>
      <c r="E205" s="65" t="n">
        <v>622</v>
      </c>
      <c r="F205" s="65" t="n">
        <v>109</v>
      </c>
    </row>
    <row r="206">
      <c r="A206" s="64" t="n">
        <v>46010</v>
      </c>
      <c r="B206" s="65">
        <f>'⚙ Настройки'!$A$2</f>
        <v/>
      </c>
      <c r="C206" s="66" t="n">
        <v>2821</v>
      </c>
      <c r="D206" s="65" t="n">
        <v>12504</v>
      </c>
      <c r="E206" s="65" t="n">
        <v>266</v>
      </c>
      <c r="F206" s="65" t="n">
        <v>88</v>
      </c>
    </row>
    <row r="207">
      <c r="A207" s="64" t="n">
        <v>46010</v>
      </c>
      <c r="B207" s="65">
        <f>'⚙ Настройки'!$A$3</f>
        <v/>
      </c>
      <c r="C207" s="66" t="n">
        <v>4973</v>
      </c>
      <c r="D207" s="65" t="n">
        <v>27440</v>
      </c>
      <c r="E207" s="65" t="n">
        <v>392</v>
      </c>
      <c r="F207" s="65" t="n">
        <v>68</v>
      </c>
    </row>
    <row r="208">
      <c r="A208" s="64" t="n">
        <v>46010</v>
      </c>
      <c r="B208" s="65">
        <f>'⚙ Настройки'!$A$4</f>
        <v/>
      </c>
      <c r="C208" s="66" t="n">
        <v>8187</v>
      </c>
      <c r="D208" s="65" t="n">
        <v>42637</v>
      </c>
      <c r="E208" s="65" t="n">
        <v>911</v>
      </c>
      <c r="F208" s="65" t="n">
        <v>109</v>
      </c>
    </row>
    <row r="209">
      <c r="A209" s="64" t="n">
        <v>46011</v>
      </c>
      <c r="B209" s="65">
        <f>'⚙ Настройки'!$A$2</f>
        <v/>
      </c>
      <c r="C209" s="66" t="n">
        <v>2026</v>
      </c>
      <c r="D209" s="65" t="n">
        <v>9632</v>
      </c>
      <c r="E209" s="65" t="n">
        <v>174</v>
      </c>
      <c r="F209" s="65" t="n">
        <v>53</v>
      </c>
    </row>
    <row r="210">
      <c r="A210" s="64" t="n">
        <v>46011</v>
      </c>
      <c r="B210" s="65">
        <f>'⚙ Настройки'!$A$3</f>
        <v/>
      </c>
      <c r="C210" s="66" t="n">
        <v>4084</v>
      </c>
      <c r="D210" s="65" t="n">
        <v>19524</v>
      </c>
      <c r="E210" s="65" t="n">
        <v>362</v>
      </c>
      <c r="F210" s="65" t="n">
        <v>96</v>
      </c>
    </row>
    <row r="211">
      <c r="A211" s="64" t="n">
        <v>46011</v>
      </c>
      <c r="B211" s="65">
        <f>'⚙ Настройки'!$A$4</f>
        <v/>
      </c>
      <c r="C211" s="66" t="n">
        <v>3867</v>
      </c>
      <c r="D211" s="65" t="n">
        <v>19446</v>
      </c>
      <c r="E211" s="65" t="n">
        <v>355</v>
      </c>
      <c r="F211" s="65" t="n">
        <v>58</v>
      </c>
    </row>
    <row r="212">
      <c r="A212" s="64" t="n">
        <v>46012</v>
      </c>
      <c r="B212" s="65">
        <f>'⚙ Настройки'!$A$2</f>
        <v/>
      </c>
      <c r="C212" s="66" t="n">
        <v>1874</v>
      </c>
      <c r="D212" s="65" t="n">
        <v>8840</v>
      </c>
      <c r="E212" s="65" t="n">
        <v>158</v>
      </c>
      <c r="F212" s="65" t="n">
        <v>41</v>
      </c>
    </row>
    <row r="213">
      <c r="A213" s="64" t="n">
        <v>46012</v>
      </c>
      <c r="B213" s="65">
        <f>'⚙ Настройки'!$A$3</f>
        <v/>
      </c>
      <c r="C213" s="66" t="n">
        <v>3939</v>
      </c>
      <c r="D213" s="65" t="n">
        <v>19163</v>
      </c>
      <c r="E213" s="65" t="n">
        <v>413</v>
      </c>
      <c r="F213" s="65" t="n">
        <v>62</v>
      </c>
    </row>
    <row r="214">
      <c r="A214" s="64" t="n">
        <v>46012</v>
      </c>
      <c r="B214" s="65">
        <f>'⚙ Настройки'!$A$4</f>
        <v/>
      </c>
      <c r="C214" s="66" t="n">
        <v>5155</v>
      </c>
      <c r="D214" s="65" t="n">
        <v>25851</v>
      </c>
      <c r="E214" s="65" t="n">
        <v>418</v>
      </c>
      <c r="F214" s="65" t="n">
        <v>58</v>
      </c>
    </row>
    <row r="215">
      <c r="A215" s="64" t="n">
        <v>46013</v>
      </c>
      <c r="B215" s="65">
        <f>'⚙ Настройки'!$A$2</f>
        <v/>
      </c>
      <c r="C215" s="66" t="n">
        <v>3020</v>
      </c>
      <c r="D215" s="65" t="n">
        <v>12984</v>
      </c>
      <c r="E215" s="65" t="n">
        <v>280</v>
      </c>
      <c r="F215" s="65" t="n">
        <v>112</v>
      </c>
    </row>
    <row r="216">
      <c r="A216" s="64" t="n">
        <v>46013</v>
      </c>
      <c r="B216" s="65">
        <f>'⚙ Настройки'!$A$3</f>
        <v/>
      </c>
      <c r="C216" s="66" t="n">
        <v>5732</v>
      </c>
      <c r="D216" s="65" t="n">
        <v>24103</v>
      </c>
      <c r="E216" s="65" t="n">
        <v>386</v>
      </c>
      <c r="F216" s="65" t="n">
        <v>173</v>
      </c>
    </row>
    <row r="217">
      <c r="A217" s="64" t="n">
        <v>46013</v>
      </c>
      <c r="B217" s="65">
        <f>'⚙ Настройки'!$A$4</f>
        <v/>
      </c>
      <c r="C217" s="66" t="n">
        <v>6397</v>
      </c>
      <c r="D217" s="65" t="n">
        <v>28733</v>
      </c>
      <c r="E217" s="65" t="n">
        <v>587</v>
      </c>
      <c r="F217" s="65" t="n">
        <v>83</v>
      </c>
    </row>
    <row r="218">
      <c r="A218" s="64" t="n">
        <v>46014</v>
      </c>
      <c r="B218" s="65">
        <f>'⚙ Настройки'!$A$2</f>
        <v/>
      </c>
      <c r="C218" s="66" t="n">
        <v>2832</v>
      </c>
      <c r="D218" s="65" t="n">
        <v>11970</v>
      </c>
      <c r="E218" s="65" t="n">
        <v>248</v>
      </c>
      <c r="F218" s="65" t="n">
        <v>120</v>
      </c>
    </row>
    <row r="219">
      <c r="A219" s="64" t="n">
        <v>46014</v>
      </c>
      <c r="B219" s="65">
        <f>'⚙ Настройки'!$A$3</f>
        <v/>
      </c>
      <c r="C219" s="66" t="n">
        <v>4210</v>
      </c>
      <c r="D219" s="65" t="n">
        <v>22060</v>
      </c>
      <c r="E219" s="65" t="n">
        <v>324</v>
      </c>
      <c r="F219" s="65" t="n">
        <v>125</v>
      </c>
    </row>
    <row r="220">
      <c r="A220" s="64" t="n">
        <v>46014</v>
      </c>
      <c r="B220" s="65">
        <f>'⚙ Настройки'!$A$4</f>
        <v/>
      </c>
      <c r="C220" s="66" t="n">
        <v>6988</v>
      </c>
      <c r="D220" s="65" t="n">
        <v>29599</v>
      </c>
      <c r="E220" s="65" t="n">
        <v>520</v>
      </c>
      <c r="F220" s="65" t="n">
        <v>75</v>
      </c>
    </row>
    <row r="221">
      <c r="A221" s="64" t="n">
        <v>46015</v>
      </c>
      <c r="B221" s="65">
        <f>'⚙ Настройки'!$A$2</f>
        <v/>
      </c>
      <c r="C221" s="66" t="n">
        <v>2233</v>
      </c>
      <c r="D221" s="65" t="n">
        <v>10812</v>
      </c>
      <c r="E221" s="65" t="n">
        <v>158</v>
      </c>
      <c r="F221" s="65" t="n">
        <v>84</v>
      </c>
    </row>
    <row r="222">
      <c r="A222" s="64" t="n">
        <v>46015</v>
      </c>
      <c r="B222" s="65">
        <f>'⚙ Настройки'!$A$3</f>
        <v/>
      </c>
      <c r="C222" s="66" t="n">
        <v>5098</v>
      </c>
      <c r="D222" s="65" t="n">
        <v>21951</v>
      </c>
      <c r="E222" s="65" t="n">
        <v>388</v>
      </c>
      <c r="F222" s="65" t="n">
        <v>72</v>
      </c>
    </row>
    <row r="223">
      <c r="A223" s="64" t="n">
        <v>46015</v>
      </c>
      <c r="B223" s="65">
        <f>'⚙ Настройки'!$A$4</f>
        <v/>
      </c>
      <c r="C223" s="66" t="n">
        <v>5576</v>
      </c>
      <c r="D223" s="65" t="n">
        <v>27065</v>
      </c>
      <c r="E223" s="65" t="n">
        <v>517</v>
      </c>
      <c r="F223" s="65" t="n">
        <v>122</v>
      </c>
    </row>
    <row r="224">
      <c r="A224" s="64" t="n">
        <v>46016</v>
      </c>
      <c r="B224" s="65">
        <f>'⚙ Настройки'!$A$2</f>
        <v/>
      </c>
      <c r="C224" s="66" t="n">
        <v>2168</v>
      </c>
      <c r="D224" s="65" t="n">
        <v>9847</v>
      </c>
      <c r="E224" s="65" t="n">
        <v>200</v>
      </c>
      <c r="F224" s="65" t="n">
        <v>49</v>
      </c>
    </row>
    <row r="225">
      <c r="A225" s="64" t="n">
        <v>46016</v>
      </c>
      <c r="B225" s="65">
        <f>'⚙ Настройки'!$A$3</f>
        <v/>
      </c>
      <c r="C225" s="66" t="n">
        <v>5979</v>
      </c>
      <c r="D225" s="65" t="n">
        <v>32521</v>
      </c>
      <c r="E225" s="65" t="n">
        <v>611</v>
      </c>
      <c r="F225" s="65" t="n">
        <v>124</v>
      </c>
    </row>
    <row r="226">
      <c r="A226" s="64" t="n">
        <v>46016</v>
      </c>
      <c r="B226" s="65">
        <f>'⚙ Настройки'!$A$4</f>
        <v/>
      </c>
      <c r="C226" s="66" t="n">
        <v>8467</v>
      </c>
      <c r="D226" s="65" t="n">
        <v>45937</v>
      </c>
      <c r="E226" s="65" t="n">
        <v>862</v>
      </c>
      <c r="F226" s="65" t="n">
        <v>159</v>
      </c>
    </row>
    <row r="227">
      <c r="A227" s="64" t="n">
        <v>46017</v>
      </c>
      <c r="B227" s="65">
        <f>'⚙ Настройки'!$A$2</f>
        <v/>
      </c>
      <c r="C227" s="66" t="n">
        <v>2283</v>
      </c>
      <c r="D227" s="65" t="n">
        <v>10239</v>
      </c>
      <c r="E227" s="65" t="n">
        <v>197</v>
      </c>
      <c r="F227" s="65" t="n">
        <v>96</v>
      </c>
    </row>
    <row r="228">
      <c r="A228" s="64" t="n">
        <v>46017</v>
      </c>
      <c r="B228" s="65">
        <f>'⚙ Настройки'!$A$3</f>
        <v/>
      </c>
      <c r="C228" s="66" t="n">
        <v>4024</v>
      </c>
      <c r="D228" s="65" t="n">
        <v>16939</v>
      </c>
      <c r="E228" s="65" t="n">
        <v>272</v>
      </c>
      <c r="F228" s="65" t="n">
        <v>73</v>
      </c>
    </row>
    <row r="229">
      <c r="A229" s="64" t="n">
        <v>46017</v>
      </c>
      <c r="B229" s="65">
        <f>'⚙ Настройки'!$A$4</f>
        <v/>
      </c>
      <c r="C229" s="66" t="n">
        <v>8692</v>
      </c>
      <c r="D229" s="65" t="n">
        <v>40681</v>
      </c>
      <c r="E229" s="65" t="n">
        <v>830</v>
      </c>
      <c r="F229" s="65" t="n">
        <v>122</v>
      </c>
    </row>
    <row r="230">
      <c r="A230" s="64" t="n">
        <v>46018</v>
      </c>
      <c r="B230" s="65">
        <f>'⚙ Настройки'!$A$2</f>
        <v/>
      </c>
      <c r="C230" s="66" t="n">
        <v>2305</v>
      </c>
      <c r="D230" s="65" t="n">
        <v>9683</v>
      </c>
      <c r="E230" s="65" t="n">
        <v>153</v>
      </c>
      <c r="F230" s="65" t="n">
        <v>51</v>
      </c>
    </row>
    <row r="231">
      <c r="A231" s="64" t="n">
        <v>46018</v>
      </c>
      <c r="B231" s="65">
        <f>'⚙ Настройки'!$A$3</f>
        <v/>
      </c>
      <c r="C231" s="66" t="n">
        <v>3727</v>
      </c>
      <c r="D231" s="65" t="n">
        <v>15700</v>
      </c>
      <c r="E231" s="65" t="n">
        <v>304</v>
      </c>
      <c r="F231" s="65" t="n">
        <v>78</v>
      </c>
    </row>
    <row r="232">
      <c r="A232" s="64" t="n">
        <v>46018</v>
      </c>
      <c r="B232" s="65">
        <f>'⚙ Настройки'!$A$4</f>
        <v/>
      </c>
      <c r="C232" s="66" t="n">
        <v>5467</v>
      </c>
      <c r="D232" s="65" t="n">
        <v>24794</v>
      </c>
      <c r="E232" s="65" t="n">
        <v>406</v>
      </c>
      <c r="F232" s="65" t="n">
        <v>100</v>
      </c>
    </row>
    <row r="233">
      <c r="A233" s="64" t="n">
        <v>46019</v>
      </c>
      <c r="B233" s="65">
        <f>'⚙ Настройки'!$A$2</f>
        <v/>
      </c>
      <c r="C233" s="66" t="n">
        <v>1838</v>
      </c>
      <c r="D233" s="65" t="n">
        <v>8784</v>
      </c>
      <c r="E233" s="65" t="n">
        <v>193</v>
      </c>
      <c r="F233" s="65" t="n">
        <v>44</v>
      </c>
    </row>
    <row r="234">
      <c r="A234" s="64" t="n">
        <v>46019</v>
      </c>
      <c r="B234" s="65">
        <f>'⚙ Настройки'!$A$3</f>
        <v/>
      </c>
      <c r="C234" s="66" t="n">
        <v>3397</v>
      </c>
      <c r="D234" s="65" t="n">
        <v>17918</v>
      </c>
      <c r="E234" s="65" t="n">
        <v>389</v>
      </c>
      <c r="F234" s="65" t="n">
        <v>47</v>
      </c>
    </row>
    <row r="235">
      <c r="A235" s="64" t="n">
        <v>46019</v>
      </c>
      <c r="B235" s="65">
        <f>'⚙ Настройки'!$A$4</f>
        <v/>
      </c>
      <c r="C235" s="66" t="n">
        <v>5888</v>
      </c>
      <c r="D235" s="65" t="n">
        <v>31195</v>
      </c>
      <c r="E235" s="65" t="n">
        <v>666</v>
      </c>
      <c r="F235" s="65" t="n">
        <v>108</v>
      </c>
    </row>
    <row r="236">
      <c r="A236" s="64" t="n">
        <v>46020</v>
      </c>
      <c r="B236" s="65">
        <f>'⚙ Настройки'!$A$2</f>
        <v/>
      </c>
      <c r="C236" s="66" t="n">
        <v>2302</v>
      </c>
      <c r="D236" s="65" t="n">
        <v>11181</v>
      </c>
      <c r="E236" s="65" t="n">
        <v>203</v>
      </c>
      <c r="F236" s="65" t="n">
        <v>79</v>
      </c>
    </row>
    <row r="237">
      <c r="A237" s="64" t="n">
        <v>46020</v>
      </c>
      <c r="B237" s="65">
        <f>'⚙ Настройки'!$A$3</f>
        <v/>
      </c>
      <c r="C237" s="66" t="n">
        <v>4293</v>
      </c>
      <c r="D237" s="65" t="n">
        <v>23547</v>
      </c>
      <c r="E237" s="65" t="n">
        <v>378</v>
      </c>
      <c r="F237" s="65" t="n">
        <v>93</v>
      </c>
    </row>
    <row r="238">
      <c r="A238" s="64" t="n">
        <v>46020</v>
      </c>
      <c r="B238" s="65">
        <f>'⚙ Настройки'!$A$4</f>
        <v/>
      </c>
      <c r="C238" s="66" t="n">
        <v>5766</v>
      </c>
      <c r="D238" s="65" t="n">
        <v>31048</v>
      </c>
      <c r="E238" s="65" t="n">
        <v>629</v>
      </c>
      <c r="F238" s="65" t="n">
        <v>59</v>
      </c>
    </row>
    <row r="239">
      <c r="A239" s="64" t="n">
        <v>46021</v>
      </c>
      <c r="B239" s="65">
        <f>'⚙ Настройки'!$A$2</f>
        <v/>
      </c>
      <c r="C239" s="66" t="n">
        <v>2352</v>
      </c>
      <c r="D239" s="65" t="n">
        <v>11812</v>
      </c>
      <c r="E239" s="65" t="n">
        <v>234</v>
      </c>
      <c r="F239" s="65" t="n">
        <v>115</v>
      </c>
    </row>
    <row r="240">
      <c r="A240" s="64" t="n">
        <v>46021</v>
      </c>
      <c r="B240" s="65">
        <f>'⚙ Настройки'!$A$3</f>
        <v/>
      </c>
      <c r="C240" s="66" t="n">
        <v>5999</v>
      </c>
      <c r="D240" s="65" t="n">
        <v>25607</v>
      </c>
      <c r="E240" s="65" t="n">
        <v>530</v>
      </c>
      <c r="F240" s="65" t="n">
        <v>180</v>
      </c>
    </row>
    <row r="241">
      <c r="A241" s="64" t="n">
        <v>46021</v>
      </c>
      <c r="B241" s="65">
        <f>'⚙ Настройки'!$A$4</f>
        <v/>
      </c>
      <c r="C241" s="66" t="n">
        <v>6905</v>
      </c>
      <c r="D241" s="65" t="n">
        <v>31453</v>
      </c>
      <c r="E241" s="65" t="n">
        <v>505</v>
      </c>
      <c r="F241" s="65" t="n">
        <v>73</v>
      </c>
    </row>
    <row r="242">
      <c r="A242" s="64" t="n">
        <v>46022</v>
      </c>
      <c r="B242" s="65">
        <f>'⚙ Настройки'!$A$2</f>
        <v/>
      </c>
      <c r="C242" s="66" t="n">
        <v>2852</v>
      </c>
      <c r="D242" s="65" t="n">
        <v>13816</v>
      </c>
      <c r="E242" s="65" t="n">
        <v>195</v>
      </c>
      <c r="F242" s="65" t="n">
        <v>99</v>
      </c>
    </row>
    <row r="243">
      <c r="A243" s="64" t="n">
        <v>46022</v>
      </c>
      <c r="B243" s="65">
        <f>'⚙ Настройки'!$A$3</f>
        <v/>
      </c>
      <c r="C243" s="66" t="n">
        <v>5715</v>
      </c>
      <c r="D243" s="65" t="n">
        <v>25677</v>
      </c>
      <c r="E243" s="65" t="n">
        <v>492</v>
      </c>
      <c r="F243" s="65" t="n">
        <v>79</v>
      </c>
    </row>
    <row r="244">
      <c r="A244" s="64" t="n">
        <v>46022</v>
      </c>
      <c r="B244" s="65">
        <f>'⚙ Настройки'!$A$4</f>
        <v/>
      </c>
      <c r="C244" s="66" t="n">
        <v>7892</v>
      </c>
      <c r="D244" s="65" t="n">
        <v>41693</v>
      </c>
      <c r="E244" s="65" t="n">
        <v>603</v>
      </c>
      <c r="F244" s="65" t="n">
        <v>96</v>
      </c>
    </row>
    <row r="245">
      <c r="A245" s="64" t="n">
        <v>46023</v>
      </c>
      <c r="B245" s="65">
        <f>'⚙ Настройки'!$A$2</f>
        <v/>
      </c>
      <c r="C245" s="66" t="n">
        <v>2953</v>
      </c>
      <c r="D245" s="65" t="n">
        <v>14013</v>
      </c>
      <c r="E245" s="65" t="n">
        <v>203</v>
      </c>
      <c r="F245" s="65" t="n">
        <v>64</v>
      </c>
    </row>
    <row r="246">
      <c r="A246" s="64" t="n">
        <v>46023</v>
      </c>
      <c r="B246" s="65">
        <f>'⚙ Настройки'!$A$3</f>
        <v/>
      </c>
      <c r="C246" s="66" t="n">
        <v>3894</v>
      </c>
      <c r="D246" s="65" t="n">
        <v>20637</v>
      </c>
      <c r="E246" s="65" t="n">
        <v>414</v>
      </c>
      <c r="F246" s="65" t="n">
        <v>55</v>
      </c>
    </row>
    <row r="247">
      <c r="A247" s="64" t="n">
        <v>46023</v>
      </c>
      <c r="B247" s="65">
        <f>'⚙ Настройки'!$A$4</f>
        <v/>
      </c>
      <c r="C247" s="66" t="n">
        <v>5574</v>
      </c>
      <c r="D247" s="65" t="n">
        <v>24217</v>
      </c>
      <c r="E247" s="65" t="n">
        <v>396</v>
      </c>
      <c r="F247" s="65" t="n">
        <v>100</v>
      </c>
    </row>
    <row r="248">
      <c r="A248" s="64" t="n">
        <v>46024</v>
      </c>
      <c r="B248" s="65">
        <f>'⚙ Настройки'!$A$2</f>
        <v/>
      </c>
      <c r="C248" s="66" t="n">
        <v>3186</v>
      </c>
      <c r="D248" s="65" t="n">
        <v>13370</v>
      </c>
      <c r="E248" s="65" t="n">
        <v>198</v>
      </c>
      <c r="F248" s="65" t="n">
        <v>118</v>
      </c>
    </row>
    <row r="249">
      <c r="A249" s="64" t="n">
        <v>46024</v>
      </c>
      <c r="B249" s="65">
        <f>'⚙ Настройки'!$A$3</f>
        <v/>
      </c>
      <c r="C249" s="66" t="n">
        <v>5455</v>
      </c>
      <c r="D249" s="65" t="n">
        <v>27561</v>
      </c>
      <c r="E249" s="65" t="n">
        <v>516</v>
      </c>
      <c r="F249" s="65" t="n">
        <v>87</v>
      </c>
    </row>
    <row r="250">
      <c r="A250" s="64" t="n">
        <v>46024</v>
      </c>
      <c r="B250" s="65">
        <f>'⚙ Настройки'!$A$4</f>
        <v/>
      </c>
      <c r="C250" s="66" t="n">
        <v>7536</v>
      </c>
      <c r="D250" s="65" t="n">
        <v>37846</v>
      </c>
      <c r="E250" s="65" t="n">
        <v>700</v>
      </c>
      <c r="F250" s="65" t="n">
        <v>147</v>
      </c>
    </row>
    <row r="251">
      <c r="A251" s="64" t="n">
        <v>46025</v>
      </c>
      <c r="B251" s="65">
        <f>'⚙ Настройки'!$A$2</f>
        <v/>
      </c>
      <c r="C251" s="66" t="n">
        <v>1502</v>
      </c>
      <c r="D251" s="65" t="n">
        <v>6624</v>
      </c>
      <c r="E251" s="65" t="n">
        <v>107</v>
      </c>
      <c r="F251" s="65" t="n">
        <v>64</v>
      </c>
    </row>
    <row r="252">
      <c r="A252" s="64" t="n">
        <v>46025</v>
      </c>
      <c r="B252" s="65">
        <f>'⚙ Настройки'!$A$3</f>
        <v/>
      </c>
      <c r="C252" s="66" t="n">
        <v>2819</v>
      </c>
      <c r="D252" s="65" t="n">
        <v>14135</v>
      </c>
      <c r="E252" s="65" t="n">
        <v>227</v>
      </c>
      <c r="F252" s="65" t="n">
        <v>77</v>
      </c>
    </row>
    <row r="253">
      <c r="A253" s="64" t="n">
        <v>46025</v>
      </c>
      <c r="B253" s="65">
        <f>'⚙ Настройки'!$A$4</f>
        <v/>
      </c>
      <c r="C253" s="66" t="n">
        <v>6118</v>
      </c>
      <c r="D253" s="65" t="n">
        <v>30672</v>
      </c>
      <c r="E253" s="65" t="n">
        <v>636</v>
      </c>
      <c r="F253" s="65" t="n">
        <v>119</v>
      </c>
    </row>
    <row r="254">
      <c r="A254" s="64" t="n">
        <v>46026</v>
      </c>
      <c r="B254" s="65">
        <f>'⚙ Настройки'!$A$2</f>
        <v/>
      </c>
      <c r="C254" s="66" t="n">
        <v>1878</v>
      </c>
      <c r="D254" s="65" t="n">
        <v>8002</v>
      </c>
      <c r="E254" s="65" t="n">
        <v>164</v>
      </c>
      <c r="F254" s="65" t="n">
        <v>70</v>
      </c>
    </row>
    <row r="255">
      <c r="A255" s="64" t="n">
        <v>46026</v>
      </c>
      <c r="B255" s="65">
        <f>'⚙ Настройки'!$A$3</f>
        <v/>
      </c>
      <c r="C255" s="66" t="n">
        <v>3484</v>
      </c>
      <c r="D255" s="65" t="n">
        <v>18326</v>
      </c>
      <c r="E255" s="65" t="n">
        <v>292</v>
      </c>
      <c r="F255" s="65" t="n">
        <v>94</v>
      </c>
    </row>
    <row r="256">
      <c r="A256" s="64" t="n">
        <v>46026</v>
      </c>
      <c r="B256" s="65">
        <f>'⚙ Настройки'!$A$4</f>
        <v/>
      </c>
      <c r="C256" s="66" t="n">
        <v>5840</v>
      </c>
      <c r="D256" s="65" t="n">
        <v>24455</v>
      </c>
      <c r="E256" s="65" t="n">
        <v>419</v>
      </c>
      <c r="F256" s="65" t="n">
        <v>131</v>
      </c>
    </row>
    <row r="257">
      <c r="A257" s="64" t="n">
        <v>46027</v>
      </c>
      <c r="B257" s="65">
        <f>'⚙ Настройки'!$A$2</f>
        <v/>
      </c>
      <c r="C257" s="66" t="n">
        <v>2305</v>
      </c>
      <c r="D257" s="65" t="n">
        <v>9802</v>
      </c>
      <c r="E257" s="65" t="n">
        <v>182</v>
      </c>
      <c r="F257" s="65" t="n">
        <v>60</v>
      </c>
    </row>
    <row r="258">
      <c r="A258" s="64" t="n">
        <v>46027</v>
      </c>
      <c r="B258" s="65">
        <f>'⚙ Настройки'!$A$3</f>
        <v/>
      </c>
      <c r="C258" s="66" t="n">
        <v>5477</v>
      </c>
      <c r="D258" s="65" t="n">
        <v>30300</v>
      </c>
      <c r="E258" s="65" t="n">
        <v>598</v>
      </c>
      <c r="F258" s="65" t="n">
        <v>139</v>
      </c>
    </row>
    <row r="259">
      <c r="A259" s="64" t="n">
        <v>46027</v>
      </c>
      <c r="B259" s="65">
        <f>'⚙ Настройки'!$A$4</f>
        <v/>
      </c>
      <c r="C259" s="66" t="n">
        <v>6830</v>
      </c>
      <c r="D259" s="65" t="n">
        <v>31266</v>
      </c>
      <c r="E259" s="65" t="n">
        <v>494</v>
      </c>
      <c r="F259" s="65" t="n">
        <v>93</v>
      </c>
    </row>
    <row r="260">
      <c r="A260" s="64" t="n">
        <v>46028</v>
      </c>
      <c r="B260" s="65">
        <f>'⚙ Настройки'!$A$2</f>
        <v/>
      </c>
      <c r="C260" s="66" t="n">
        <v>2224</v>
      </c>
      <c r="D260" s="65" t="n">
        <v>12123</v>
      </c>
      <c r="E260" s="65" t="n">
        <v>236</v>
      </c>
      <c r="F260" s="65" t="n">
        <v>71</v>
      </c>
    </row>
    <row r="261">
      <c r="A261" s="64" t="n">
        <v>46028</v>
      </c>
      <c r="B261" s="65">
        <f>'⚙ Настройки'!$A$3</f>
        <v/>
      </c>
      <c r="C261" s="66" t="n">
        <v>3868</v>
      </c>
      <c r="D261" s="65" t="n">
        <v>16413</v>
      </c>
      <c r="E261" s="65" t="n">
        <v>259</v>
      </c>
      <c r="F261" s="65" t="n">
        <v>55</v>
      </c>
    </row>
    <row r="262">
      <c r="A262" s="64" t="n">
        <v>46028</v>
      </c>
      <c r="B262" s="65">
        <f>'⚙ Настройки'!$A$4</f>
        <v/>
      </c>
      <c r="C262" s="66" t="n">
        <v>5796</v>
      </c>
      <c r="D262" s="65" t="n">
        <v>27883</v>
      </c>
      <c r="E262" s="65" t="n">
        <v>553</v>
      </c>
      <c r="F262" s="65" t="n">
        <v>87</v>
      </c>
    </row>
    <row r="263">
      <c r="A263" s="64" t="n">
        <v>46029</v>
      </c>
      <c r="B263" s="65">
        <f>'⚙ Настройки'!$A$2</f>
        <v/>
      </c>
      <c r="C263" s="66" t="n">
        <v>2202</v>
      </c>
      <c r="D263" s="65" t="n">
        <v>9319</v>
      </c>
      <c r="E263" s="65" t="n">
        <v>178</v>
      </c>
      <c r="F263" s="65" t="n">
        <v>54</v>
      </c>
    </row>
    <row r="264">
      <c r="A264" s="64" t="n">
        <v>46029</v>
      </c>
      <c r="B264" s="65">
        <f>'⚙ Настройки'!$A$3</f>
        <v/>
      </c>
      <c r="C264" s="66" t="n">
        <v>5967</v>
      </c>
      <c r="D264" s="65" t="n">
        <v>25574</v>
      </c>
      <c r="E264" s="65" t="n">
        <v>387</v>
      </c>
      <c r="F264" s="65" t="n">
        <v>120</v>
      </c>
    </row>
    <row r="265">
      <c r="A265" s="64" t="n">
        <v>46029</v>
      </c>
      <c r="B265" s="65">
        <f>'⚙ Настройки'!$A$4</f>
        <v/>
      </c>
      <c r="C265" s="66" t="n">
        <v>7935</v>
      </c>
      <c r="D265" s="65" t="n">
        <v>42464</v>
      </c>
      <c r="E265" s="65" t="n">
        <v>876</v>
      </c>
      <c r="F265" s="65" t="n">
        <v>161</v>
      </c>
    </row>
    <row r="266">
      <c r="A266" s="64" t="n">
        <v>46030</v>
      </c>
      <c r="B266" s="65">
        <f>'⚙ Настройки'!$A$2</f>
        <v/>
      </c>
      <c r="C266" s="66" t="n">
        <v>2221</v>
      </c>
      <c r="D266" s="65" t="n">
        <v>9599</v>
      </c>
      <c r="E266" s="65" t="n">
        <v>140</v>
      </c>
      <c r="F266" s="65" t="n">
        <v>52</v>
      </c>
    </row>
    <row r="267">
      <c r="A267" s="64" t="n">
        <v>46030</v>
      </c>
      <c r="B267" s="65">
        <f>'⚙ Настройки'!$A$3</f>
        <v/>
      </c>
      <c r="C267" s="66" t="n">
        <v>4031</v>
      </c>
      <c r="D267" s="65" t="n">
        <v>17100</v>
      </c>
      <c r="E267" s="65" t="n">
        <v>355</v>
      </c>
      <c r="F267" s="65" t="n">
        <v>70</v>
      </c>
    </row>
    <row r="268">
      <c r="A268" s="64" t="n">
        <v>46030</v>
      </c>
      <c r="B268" s="65">
        <f>'⚙ Настройки'!$A$4</f>
        <v/>
      </c>
      <c r="C268" s="66" t="n">
        <v>8836</v>
      </c>
      <c r="D268" s="65" t="n">
        <v>36852</v>
      </c>
      <c r="E268" s="65" t="n">
        <v>793</v>
      </c>
      <c r="F268" s="65" t="n">
        <v>122</v>
      </c>
    </row>
    <row r="269">
      <c r="A269" s="64" t="n">
        <v>46031</v>
      </c>
      <c r="B269" s="65">
        <f>'⚙ Настройки'!$A$2</f>
        <v/>
      </c>
      <c r="C269" s="66" t="n">
        <v>2743</v>
      </c>
      <c r="D269" s="65" t="n">
        <v>13691</v>
      </c>
      <c r="E269" s="65" t="n">
        <v>252</v>
      </c>
      <c r="F269" s="65" t="n">
        <v>62</v>
      </c>
    </row>
    <row r="270">
      <c r="A270" s="64" t="n">
        <v>46031</v>
      </c>
      <c r="B270" s="65">
        <f>'⚙ Настройки'!$A$3</f>
        <v/>
      </c>
      <c r="C270" s="66" t="n">
        <v>4934</v>
      </c>
      <c r="D270" s="65" t="n">
        <v>24622</v>
      </c>
      <c r="E270" s="65" t="n">
        <v>507</v>
      </c>
      <c r="F270" s="65" t="n">
        <v>97</v>
      </c>
    </row>
    <row r="271">
      <c r="A271" s="64" t="n">
        <v>46031</v>
      </c>
      <c r="B271" s="65">
        <f>'⚙ Настройки'!$A$4</f>
        <v/>
      </c>
      <c r="C271" s="66" t="n">
        <v>6537</v>
      </c>
      <c r="D271" s="65" t="n">
        <v>32542</v>
      </c>
      <c r="E271" s="65" t="n">
        <v>651</v>
      </c>
      <c r="F271" s="65" t="n">
        <v>93</v>
      </c>
    </row>
    <row r="272">
      <c r="A272" s="64" t="n">
        <v>46032</v>
      </c>
      <c r="B272" s="65">
        <f>'⚙ Настройки'!$A$2</f>
        <v/>
      </c>
      <c r="C272" s="66" t="n">
        <v>1740</v>
      </c>
      <c r="D272" s="65" t="n">
        <v>9267</v>
      </c>
      <c r="E272" s="65" t="n">
        <v>169</v>
      </c>
      <c r="F272" s="65" t="n">
        <v>67</v>
      </c>
    </row>
    <row r="273">
      <c r="A273" s="64" t="n">
        <v>46032</v>
      </c>
      <c r="B273" s="65">
        <f>'⚙ Настройки'!$A$3</f>
        <v/>
      </c>
      <c r="C273" s="66" t="n">
        <v>3770</v>
      </c>
      <c r="D273" s="65" t="n">
        <v>19993</v>
      </c>
      <c r="E273" s="65" t="n">
        <v>315</v>
      </c>
      <c r="F273" s="65" t="n">
        <v>113</v>
      </c>
    </row>
    <row r="274">
      <c r="A274" s="64" t="n">
        <v>46032</v>
      </c>
      <c r="B274" s="65">
        <f>'⚙ Настройки'!$A$4</f>
        <v/>
      </c>
      <c r="C274" s="66" t="n">
        <v>6217</v>
      </c>
      <c r="D274" s="65" t="n">
        <v>33500</v>
      </c>
      <c r="E274" s="65" t="n">
        <v>599</v>
      </c>
      <c r="F274" s="65" t="n">
        <v>68</v>
      </c>
    </row>
    <row r="275">
      <c r="A275" s="64" t="n">
        <v>46033</v>
      </c>
      <c r="B275" s="65">
        <f>'⚙ Настройки'!$A$2</f>
        <v/>
      </c>
      <c r="C275" s="66" t="n">
        <v>1586</v>
      </c>
      <c r="D275" s="65" t="n">
        <v>8361</v>
      </c>
      <c r="E275" s="65" t="n">
        <v>120</v>
      </c>
      <c r="F275" s="65" t="n">
        <v>63</v>
      </c>
    </row>
    <row r="276">
      <c r="A276" s="64" t="n">
        <v>46033</v>
      </c>
      <c r="B276" s="65">
        <f>'⚙ Настройки'!$A$3</f>
        <v/>
      </c>
      <c r="C276" s="66" t="n">
        <v>3926</v>
      </c>
      <c r="D276" s="65" t="n">
        <v>18414</v>
      </c>
      <c r="E276" s="65" t="n">
        <v>279</v>
      </c>
      <c r="F276" s="65" t="n">
        <v>58</v>
      </c>
    </row>
    <row r="277">
      <c r="A277" s="64" t="n">
        <v>46033</v>
      </c>
      <c r="B277" s="65">
        <f>'⚙ Настройки'!$A$4</f>
        <v/>
      </c>
      <c r="C277" s="66" t="n">
        <v>5374</v>
      </c>
      <c r="D277" s="65" t="n">
        <v>25296</v>
      </c>
      <c r="E277" s="65" t="n">
        <v>372</v>
      </c>
      <c r="F277" s="65" t="n">
        <v>107</v>
      </c>
    </row>
    <row r="278">
      <c r="A278" s="64" t="n">
        <v>46034</v>
      </c>
      <c r="B278" s="65">
        <f>'⚙ Настройки'!$A$2</f>
        <v/>
      </c>
      <c r="C278" s="66" t="n">
        <v>2554</v>
      </c>
      <c r="D278" s="65" t="n">
        <v>12879</v>
      </c>
      <c r="E278" s="65" t="n">
        <v>259</v>
      </c>
      <c r="F278" s="65" t="n">
        <v>93</v>
      </c>
    </row>
    <row r="279">
      <c r="A279" s="64" t="n">
        <v>46034</v>
      </c>
      <c r="B279" s="65">
        <f>'⚙ Настройки'!$A$3</f>
        <v/>
      </c>
      <c r="C279" s="66" t="n">
        <v>4481</v>
      </c>
      <c r="D279" s="65" t="n">
        <v>21890</v>
      </c>
      <c r="E279" s="65" t="n">
        <v>334</v>
      </c>
      <c r="F279" s="65" t="n">
        <v>106</v>
      </c>
    </row>
    <row r="280">
      <c r="A280" s="64" t="n">
        <v>46034</v>
      </c>
      <c r="B280" s="65">
        <f>'⚙ Настройки'!$A$4</f>
        <v/>
      </c>
      <c r="C280" s="66" t="n">
        <v>6490</v>
      </c>
      <c r="D280" s="65" t="n">
        <v>27784</v>
      </c>
      <c r="E280" s="65" t="n">
        <v>577</v>
      </c>
      <c r="F280" s="65" t="n">
        <v>118</v>
      </c>
    </row>
    <row r="281">
      <c r="A281" s="64" t="n">
        <v>46035</v>
      </c>
      <c r="B281" s="65">
        <f>'⚙ Настройки'!$A$2</f>
        <v/>
      </c>
      <c r="C281" s="66" t="n">
        <v>2822</v>
      </c>
      <c r="D281" s="65" t="n">
        <v>14800</v>
      </c>
      <c r="E281" s="65" t="n">
        <v>248</v>
      </c>
      <c r="F281" s="65" t="n">
        <v>139</v>
      </c>
    </row>
    <row r="282">
      <c r="A282" s="64" t="n">
        <v>46035</v>
      </c>
      <c r="B282" s="65">
        <f>'⚙ Настройки'!$A$3</f>
        <v/>
      </c>
      <c r="C282" s="66" t="n">
        <v>5942</v>
      </c>
      <c r="D282" s="65" t="n">
        <v>29700</v>
      </c>
      <c r="E282" s="65" t="n">
        <v>456</v>
      </c>
      <c r="F282" s="65" t="n">
        <v>116</v>
      </c>
    </row>
    <row r="283">
      <c r="A283" s="64" t="n">
        <v>46035</v>
      </c>
      <c r="B283" s="65">
        <f>'⚙ Настройки'!$A$4</f>
        <v/>
      </c>
      <c r="C283" s="66" t="n">
        <v>8895</v>
      </c>
      <c r="D283" s="65" t="n">
        <v>48889</v>
      </c>
      <c r="E283" s="65" t="n">
        <v>919</v>
      </c>
      <c r="F283" s="65" t="n">
        <v>92</v>
      </c>
    </row>
    <row r="284">
      <c r="A284" s="64" t="n">
        <v>46036</v>
      </c>
      <c r="B284" s="65">
        <f>'⚙ Настройки'!$A$2</f>
        <v/>
      </c>
      <c r="C284" s="66" t="n">
        <v>2473</v>
      </c>
      <c r="D284" s="65" t="n">
        <v>13669</v>
      </c>
      <c r="E284" s="65" t="n">
        <v>272</v>
      </c>
      <c r="F284" s="65" t="n">
        <v>72</v>
      </c>
    </row>
    <row r="285">
      <c r="A285" s="64" t="n">
        <v>46036</v>
      </c>
      <c r="B285" s="65">
        <f>'⚙ Настройки'!$A$3</f>
        <v/>
      </c>
      <c r="C285" s="66" t="n">
        <v>4623</v>
      </c>
      <c r="D285" s="65" t="n">
        <v>19740</v>
      </c>
      <c r="E285" s="65" t="n">
        <v>294</v>
      </c>
      <c r="F285" s="65" t="n">
        <v>65</v>
      </c>
    </row>
    <row r="286">
      <c r="A286" s="64" t="n">
        <v>46036</v>
      </c>
      <c r="B286" s="65">
        <f>'⚙ Настройки'!$A$4</f>
        <v/>
      </c>
      <c r="C286" s="66" t="n">
        <v>6774</v>
      </c>
      <c r="D286" s="65" t="n">
        <v>28623</v>
      </c>
      <c r="E286" s="65" t="n">
        <v>551</v>
      </c>
      <c r="F286" s="65" t="n">
        <v>150</v>
      </c>
    </row>
    <row r="287">
      <c r="A287" s="64" t="n">
        <v>46037</v>
      </c>
      <c r="B287" s="65">
        <f>'⚙ Настройки'!$A$2</f>
        <v/>
      </c>
      <c r="C287" s="66" t="n">
        <v>2390</v>
      </c>
      <c r="D287" s="65" t="n">
        <v>11464</v>
      </c>
      <c r="E287" s="65" t="n">
        <v>246</v>
      </c>
      <c r="F287" s="65" t="n">
        <v>106</v>
      </c>
    </row>
    <row r="288">
      <c r="A288" s="64" t="n">
        <v>46037</v>
      </c>
      <c r="B288" s="65">
        <f>'⚙ Настройки'!$A$3</f>
        <v/>
      </c>
      <c r="C288" s="66" t="n">
        <v>3964</v>
      </c>
      <c r="D288" s="65" t="n">
        <v>16962</v>
      </c>
      <c r="E288" s="65" t="n">
        <v>328</v>
      </c>
      <c r="F288" s="65" t="n">
        <v>100</v>
      </c>
    </row>
    <row r="289">
      <c r="A289" s="64" t="n">
        <v>46037</v>
      </c>
      <c r="B289" s="65">
        <f>'⚙ Настройки'!$A$4</f>
        <v/>
      </c>
      <c r="C289" s="66" t="n">
        <v>6741</v>
      </c>
      <c r="D289" s="65" t="n">
        <v>32569</v>
      </c>
      <c r="E289" s="65" t="n">
        <v>520</v>
      </c>
      <c r="F289" s="65" t="n">
        <v>80</v>
      </c>
    </row>
    <row r="290">
      <c r="A290" s="64" t="n">
        <v>46038</v>
      </c>
      <c r="B290" s="65">
        <f>'⚙ Настройки'!$A$2</f>
        <v/>
      </c>
      <c r="C290" s="66" t="n">
        <v>3284</v>
      </c>
      <c r="D290" s="65" t="n">
        <v>15947</v>
      </c>
      <c r="E290" s="65" t="n">
        <v>286</v>
      </c>
      <c r="F290" s="65" t="n">
        <v>79</v>
      </c>
    </row>
    <row r="291">
      <c r="A291" s="64" t="n">
        <v>46038</v>
      </c>
      <c r="B291" s="65">
        <f>'⚙ Настройки'!$A$3</f>
        <v/>
      </c>
      <c r="C291" s="66" t="n">
        <v>5040</v>
      </c>
      <c r="D291" s="65" t="n">
        <v>25561</v>
      </c>
      <c r="E291" s="65" t="n">
        <v>411</v>
      </c>
      <c r="F291" s="65" t="n">
        <v>128</v>
      </c>
    </row>
    <row r="292">
      <c r="A292" s="64" t="n">
        <v>46038</v>
      </c>
      <c r="B292" s="65">
        <f>'⚙ Настройки'!$A$4</f>
        <v/>
      </c>
      <c r="C292" s="66" t="n">
        <v>6181</v>
      </c>
      <c r="D292" s="65" t="n">
        <v>27197</v>
      </c>
      <c r="E292" s="65" t="n">
        <v>446</v>
      </c>
      <c r="F292" s="65" t="n">
        <v>134</v>
      </c>
    </row>
    <row r="293">
      <c r="A293" s="64" t="n">
        <v>46039</v>
      </c>
      <c r="B293" s="65">
        <f>'⚙ Настройки'!$A$2</f>
        <v/>
      </c>
      <c r="C293" s="66" t="n">
        <v>1879</v>
      </c>
      <c r="D293" s="65" t="n">
        <v>8931</v>
      </c>
      <c r="E293" s="65" t="n">
        <v>174</v>
      </c>
      <c r="F293" s="65" t="n">
        <v>41</v>
      </c>
    </row>
    <row r="294">
      <c r="A294" s="64" t="n">
        <v>46039</v>
      </c>
      <c r="B294" s="65">
        <f>'⚙ Настройки'!$A$3</f>
        <v/>
      </c>
      <c r="C294" s="66" t="n">
        <v>3330</v>
      </c>
      <c r="D294" s="65" t="n">
        <v>13906</v>
      </c>
      <c r="E294" s="65" t="n">
        <v>306</v>
      </c>
      <c r="F294" s="65" t="n">
        <v>48</v>
      </c>
    </row>
    <row r="295">
      <c r="A295" s="64" t="n">
        <v>46039</v>
      </c>
      <c r="B295" s="65">
        <f>'⚙ Настройки'!$A$4</f>
        <v/>
      </c>
      <c r="C295" s="66" t="n">
        <v>5314</v>
      </c>
      <c r="D295" s="65" t="n">
        <v>28610</v>
      </c>
      <c r="E295" s="65" t="n">
        <v>527</v>
      </c>
      <c r="F295" s="65" t="n">
        <v>61</v>
      </c>
    </row>
    <row r="296">
      <c r="A296" s="64" t="n">
        <v>46040</v>
      </c>
      <c r="B296" s="65">
        <f>'⚙ Настройки'!$A$2</f>
        <v/>
      </c>
      <c r="C296" s="66" t="n">
        <v>1831</v>
      </c>
      <c r="D296" s="65" t="n">
        <v>7963</v>
      </c>
      <c r="E296" s="65" t="n">
        <v>157</v>
      </c>
      <c r="F296" s="65" t="n">
        <v>50</v>
      </c>
    </row>
    <row r="297">
      <c r="A297" s="64" t="n">
        <v>46040</v>
      </c>
      <c r="B297" s="65">
        <f>'⚙ Настройки'!$A$3</f>
        <v/>
      </c>
      <c r="C297" s="66" t="n">
        <v>2857</v>
      </c>
      <c r="D297" s="65" t="n">
        <v>14476</v>
      </c>
      <c r="E297" s="65" t="n">
        <v>306</v>
      </c>
      <c r="F297" s="65" t="n">
        <v>86</v>
      </c>
    </row>
    <row r="298">
      <c r="A298" s="64" t="n">
        <v>46040</v>
      </c>
      <c r="B298" s="65">
        <f>'⚙ Настройки'!$A$4</f>
        <v/>
      </c>
      <c r="C298" s="66" t="n">
        <v>5414</v>
      </c>
      <c r="D298" s="65" t="n">
        <v>26068</v>
      </c>
      <c r="E298" s="65" t="n">
        <v>372</v>
      </c>
      <c r="F298" s="65" t="n">
        <v>76</v>
      </c>
    </row>
    <row r="299">
      <c r="A299" s="64" t="n">
        <v>46041</v>
      </c>
      <c r="B299" s="65">
        <f>'⚙ Настройки'!$A$2</f>
        <v/>
      </c>
      <c r="C299" s="66" t="n">
        <v>2707</v>
      </c>
      <c r="D299" s="65" t="n">
        <v>13478</v>
      </c>
      <c r="E299" s="65" t="n">
        <v>195</v>
      </c>
      <c r="F299" s="65" t="n">
        <v>117</v>
      </c>
    </row>
    <row r="300">
      <c r="A300" s="64" t="n">
        <v>46041</v>
      </c>
      <c r="B300" s="65">
        <f>'⚙ Настройки'!$A$3</f>
        <v/>
      </c>
      <c r="C300" s="66" t="n">
        <v>5696</v>
      </c>
      <c r="D300" s="65" t="n">
        <v>28824</v>
      </c>
      <c r="E300" s="65" t="n">
        <v>629</v>
      </c>
      <c r="F300" s="65" t="n">
        <v>180</v>
      </c>
    </row>
    <row r="301">
      <c r="A301" s="64" t="n">
        <v>46041</v>
      </c>
      <c r="B301" s="65">
        <f>'⚙ Настройки'!$A$4</f>
        <v/>
      </c>
      <c r="C301" s="66" t="n">
        <v>5902</v>
      </c>
      <c r="D301" s="65" t="n">
        <v>26973</v>
      </c>
      <c r="E301" s="65" t="n">
        <v>406</v>
      </c>
      <c r="F301" s="65" t="n">
        <v>79</v>
      </c>
    </row>
    <row r="302">
      <c r="A302" s="64" t="n">
        <v>46042</v>
      </c>
      <c r="B302" s="65">
        <f>'⚙ Настройки'!$A$2</f>
        <v/>
      </c>
      <c r="C302" s="66" t="n">
        <v>2235</v>
      </c>
      <c r="D302" s="65" t="n">
        <v>9958</v>
      </c>
      <c r="E302" s="65" t="n">
        <v>160</v>
      </c>
      <c r="F302" s="65" t="n">
        <v>93</v>
      </c>
    </row>
    <row r="303">
      <c r="A303" s="64" t="n">
        <v>46042</v>
      </c>
      <c r="B303" s="65">
        <f>'⚙ Настройки'!$A$3</f>
        <v/>
      </c>
      <c r="C303" s="66" t="n">
        <v>5909</v>
      </c>
      <c r="D303" s="65" t="n">
        <v>29478</v>
      </c>
      <c r="E303" s="65" t="n">
        <v>446</v>
      </c>
      <c r="F303" s="65" t="n">
        <v>191</v>
      </c>
    </row>
    <row r="304">
      <c r="A304" s="64" t="n">
        <v>46042</v>
      </c>
      <c r="B304" s="65">
        <f>'⚙ Настройки'!$A$4</f>
        <v/>
      </c>
      <c r="C304" s="66" t="n">
        <v>6855</v>
      </c>
      <c r="D304" s="65" t="n">
        <v>33855</v>
      </c>
      <c r="E304" s="65" t="n">
        <v>654</v>
      </c>
      <c r="F304" s="65" t="n">
        <v>133</v>
      </c>
    </row>
    <row r="305">
      <c r="A305" s="64" t="n">
        <v>46043</v>
      </c>
      <c r="B305" s="65">
        <f>'⚙ Настройки'!$A$2</f>
        <v/>
      </c>
      <c r="C305" s="66" t="n">
        <v>2257</v>
      </c>
      <c r="D305" s="65" t="n">
        <v>9793</v>
      </c>
      <c r="E305" s="65" t="n">
        <v>205</v>
      </c>
      <c r="F305" s="65" t="n">
        <v>61</v>
      </c>
    </row>
    <row r="306">
      <c r="A306" s="64" t="n">
        <v>46043</v>
      </c>
      <c r="B306" s="65">
        <f>'⚙ Настройки'!$A$3</f>
        <v/>
      </c>
      <c r="C306" s="66" t="n">
        <v>5981</v>
      </c>
      <c r="D306" s="65" t="n">
        <v>28266</v>
      </c>
      <c r="E306" s="65" t="n">
        <v>438</v>
      </c>
      <c r="F306" s="65" t="n">
        <v>122</v>
      </c>
    </row>
    <row r="307">
      <c r="A307" s="64" t="n">
        <v>46043</v>
      </c>
      <c r="B307" s="65">
        <f>'⚙ Настройки'!$A$4</f>
        <v/>
      </c>
      <c r="C307" s="66" t="n">
        <v>6185</v>
      </c>
      <c r="D307" s="65" t="n">
        <v>26153</v>
      </c>
      <c r="E307" s="65" t="n">
        <v>436</v>
      </c>
      <c r="F307" s="65" t="n">
        <v>69</v>
      </c>
    </row>
    <row r="308">
      <c r="A308" s="64" t="n">
        <v>46044</v>
      </c>
      <c r="B308" s="65">
        <f>'⚙ Настройки'!$A$2</f>
        <v/>
      </c>
      <c r="C308" s="66" t="n">
        <v>2542</v>
      </c>
      <c r="D308" s="65" t="n">
        <v>13067</v>
      </c>
      <c r="E308" s="65" t="n">
        <v>214</v>
      </c>
      <c r="F308" s="65" t="n">
        <v>80</v>
      </c>
    </row>
    <row r="309">
      <c r="A309" s="64" t="n">
        <v>46044</v>
      </c>
      <c r="B309" s="65">
        <f>'⚙ Настройки'!$A$3</f>
        <v/>
      </c>
      <c r="C309" s="66" t="n">
        <v>6193</v>
      </c>
      <c r="D309" s="65" t="n">
        <v>32072</v>
      </c>
      <c r="E309" s="65" t="n">
        <v>596</v>
      </c>
      <c r="F309" s="65" t="n">
        <v>169</v>
      </c>
    </row>
    <row r="310">
      <c r="A310" s="64" t="n">
        <v>46044</v>
      </c>
      <c r="B310" s="65">
        <f>'⚙ Настройки'!$A$4</f>
        <v/>
      </c>
      <c r="C310" s="66" t="n">
        <v>8802</v>
      </c>
      <c r="D310" s="65" t="n">
        <v>42152</v>
      </c>
      <c r="E310" s="65" t="n">
        <v>640</v>
      </c>
      <c r="F310" s="65" t="n">
        <v>186</v>
      </c>
    </row>
    <row r="311">
      <c r="A311" s="64" t="n">
        <v>46045</v>
      </c>
      <c r="B311" s="65">
        <f>'⚙ Настройки'!$A$2</f>
        <v/>
      </c>
      <c r="C311" s="66" t="n">
        <v>2367</v>
      </c>
      <c r="D311" s="65" t="n">
        <v>11449</v>
      </c>
      <c r="E311" s="65" t="n">
        <v>184</v>
      </c>
      <c r="F311" s="65" t="n">
        <v>53</v>
      </c>
    </row>
    <row r="312">
      <c r="A312" s="64" t="n">
        <v>46045</v>
      </c>
      <c r="B312" s="65">
        <f>'⚙ Настройки'!$A$3</f>
        <v/>
      </c>
      <c r="C312" s="66" t="n">
        <v>4319</v>
      </c>
      <c r="D312" s="65" t="n">
        <v>19091</v>
      </c>
      <c r="E312" s="65" t="n">
        <v>376</v>
      </c>
      <c r="F312" s="65" t="n">
        <v>111</v>
      </c>
    </row>
    <row r="313">
      <c r="A313" s="64" t="n">
        <v>46045</v>
      </c>
      <c r="B313" s="65">
        <f>'⚙ Настройки'!$A$4</f>
        <v/>
      </c>
      <c r="C313" s="66" t="n">
        <v>8833</v>
      </c>
      <c r="D313" s="65" t="n">
        <v>47229</v>
      </c>
      <c r="E313" s="65" t="n">
        <v>849</v>
      </c>
      <c r="F313" s="65" t="n">
        <v>122</v>
      </c>
    </row>
    <row r="314">
      <c r="A314" s="64" t="n">
        <v>46046</v>
      </c>
      <c r="B314" s="65">
        <f>'⚙ Настройки'!$A$2</f>
        <v/>
      </c>
      <c r="C314" s="66" t="n">
        <v>2475</v>
      </c>
      <c r="D314" s="65" t="n">
        <v>11629</v>
      </c>
      <c r="E314" s="65" t="n">
        <v>186</v>
      </c>
      <c r="F314" s="65" t="n">
        <v>55</v>
      </c>
    </row>
    <row r="315">
      <c r="A315" s="64" t="n">
        <v>46046</v>
      </c>
      <c r="B315" s="65">
        <f>'⚙ Настройки'!$A$3</f>
        <v/>
      </c>
      <c r="C315" s="66" t="n">
        <v>2845</v>
      </c>
      <c r="D315" s="65" t="n">
        <v>15358</v>
      </c>
      <c r="E315" s="65" t="n">
        <v>290</v>
      </c>
      <c r="F315" s="65" t="n">
        <v>56</v>
      </c>
    </row>
    <row r="316">
      <c r="A316" s="64" t="n">
        <v>46046</v>
      </c>
      <c r="B316" s="65">
        <f>'⚙ Настройки'!$A$4</f>
        <v/>
      </c>
      <c r="C316" s="66" t="n">
        <v>4209</v>
      </c>
      <c r="D316" s="65" t="n">
        <v>20229</v>
      </c>
      <c r="E316" s="65" t="n">
        <v>310</v>
      </c>
      <c r="F316" s="65" t="n">
        <v>58</v>
      </c>
    </row>
    <row r="317">
      <c r="A317" s="64" t="n">
        <v>46047</v>
      </c>
      <c r="B317" s="65">
        <f>'⚙ Настройки'!$A$2</f>
        <v/>
      </c>
      <c r="C317" s="66" t="n">
        <v>1813</v>
      </c>
      <c r="D317" s="65" t="n">
        <v>9002</v>
      </c>
      <c r="E317" s="65" t="n">
        <v>126</v>
      </c>
      <c r="F317" s="65" t="n">
        <v>61</v>
      </c>
    </row>
    <row r="318">
      <c r="A318" s="64" t="n">
        <v>46047</v>
      </c>
      <c r="B318" s="65">
        <f>'⚙ Настройки'!$A$3</f>
        <v/>
      </c>
      <c r="C318" s="66" t="n">
        <v>3200</v>
      </c>
      <c r="D318" s="65" t="n">
        <v>16635</v>
      </c>
      <c r="E318" s="65" t="n">
        <v>314</v>
      </c>
      <c r="F318" s="65" t="n">
        <v>53</v>
      </c>
    </row>
    <row r="319">
      <c r="A319" s="64" t="n">
        <v>46047</v>
      </c>
      <c r="B319" s="65">
        <f>'⚙ Настройки'!$A$4</f>
        <v/>
      </c>
      <c r="C319" s="66" t="n">
        <v>5228</v>
      </c>
      <c r="D319" s="65" t="n">
        <v>25879</v>
      </c>
      <c r="E319" s="65" t="n">
        <v>403</v>
      </c>
      <c r="F319" s="65" t="n">
        <v>81</v>
      </c>
    </row>
    <row r="320">
      <c r="A320" s="64" t="n">
        <v>46048</v>
      </c>
      <c r="B320" s="65">
        <f>'⚙ Настройки'!$A$2</f>
        <v/>
      </c>
      <c r="C320" s="66" t="n">
        <v>2830</v>
      </c>
      <c r="D320" s="65" t="n">
        <v>13466</v>
      </c>
      <c r="E320" s="65" t="n">
        <v>210</v>
      </c>
      <c r="F320" s="65" t="n">
        <v>86</v>
      </c>
    </row>
    <row r="321">
      <c r="A321" s="64" t="n">
        <v>46048</v>
      </c>
      <c r="B321" s="65">
        <f>'⚙ Настройки'!$A$3</f>
        <v/>
      </c>
      <c r="C321" s="66" t="n">
        <v>5963</v>
      </c>
      <c r="D321" s="65" t="n">
        <v>27738</v>
      </c>
      <c r="E321" s="65" t="n">
        <v>433</v>
      </c>
      <c r="F321" s="65" t="n">
        <v>178</v>
      </c>
    </row>
    <row r="322">
      <c r="A322" s="64" t="n">
        <v>46048</v>
      </c>
      <c r="B322" s="65">
        <f>'⚙ Настройки'!$A$4</f>
        <v/>
      </c>
      <c r="C322" s="66" t="n">
        <v>6348</v>
      </c>
      <c r="D322" s="65" t="n">
        <v>33833</v>
      </c>
      <c r="E322" s="65" t="n">
        <v>539</v>
      </c>
      <c r="F322" s="65" t="n">
        <v>70</v>
      </c>
    </row>
    <row r="323">
      <c r="A323" s="64" t="n">
        <v>46049</v>
      </c>
      <c r="B323" s="65">
        <f>'⚙ Настройки'!$A$2</f>
        <v/>
      </c>
      <c r="C323" s="66" t="n">
        <v>2160</v>
      </c>
      <c r="D323" s="65" t="n">
        <v>11029</v>
      </c>
      <c r="E323" s="65" t="n">
        <v>162</v>
      </c>
      <c r="F323" s="65" t="n">
        <v>72</v>
      </c>
    </row>
    <row r="324">
      <c r="A324" s="64" t="n">
        <v>46049</v>
      </c>
      <c r="B324" s="65">
        <f>'⚙ Настройки'!$A$3</f>
        <v/>
      </c>
      <c r="C324" s="66" t="n">
        <v>5767</v>
      </c>
      <c r="D324" s="65" t="n">
        <v>28202</v>
      </c>
      <c r="E324" s="65" t="n">
        <v>558</v>
      </c>
      <c r="F324" s="65" t="n">
        <v>174</v>
      </c>
    </row>
    <row r="325">
      <c r="A325" s="64" t="n">
        <v>46049</v>
      </c>
      <c r="B325" s="65">
        <f>'⚙ Настройки'!$A$4</f>
        <v/>
      </c>
      <c r="C325" s="66" t="n">
        <v>7468</v>
      </c>
      <c r="D325" s="65" t="n">
        <v>31992</v>
      </c>
      <c r="E325" s="65" t="n">
        <v>452</v>
      </c>
      <c r="F325" s="65" t="n">
        <v>79</v>
      </c>
    </row>
    <row r="326">
      <c r="A326" s="64" t="n">
        <v>46050</v>
      </c>
      <c r="B326" s="65">
        <f>'⚙ Настройки'!$A$2</f>
        <v/>
      </c>
      <c r="C326" s="66" t="n">
        <v>2215</v>
      </c>
      <c r="D326" s="65" t="n">
        <v>12214</v>
      </c>
      <c r="E326" s="65" t="n">
        <v>201</v>
      </c>
      <c r="F326" s="65" t="n">
        <v>86</v>
      </c>
    </row>
    <row r="327">
      <c r="A327" s="64" t="n">
        <v>46050</v>
      </c>
      <c r="B327" s="65">
        <f>'⚙ Настройки'!$A$3</f>
        <v/>
      </c>
      <c r="C327" s="66" t="n">
        <v>5975</v>
      </c>
      <c r="D327" s="65" t="n">
        <v>29858</v>
      </c>
      <c r="E327" s="65" t="n">
        <v>619</v>
      </c>
      <c r="F327" s="65" t="n">
        <v>90</v>
      </c>
    </row>
    <row r="328">
      <c r="A328" s="64" t="n">
        <v>46050</v>
      </c>
      <c r="B328" s="65">
        <f>'⚙ Настройки'!$A$4</f>
        <v/>
      </c>
      <c r="C328" s="66" t="n">
        <v>7427</v>
      </c>
      <c r="D328" s="65" t="n">
        <v>32651</v>
      </c>
      <c r="E328" s="65" t="n">
        <v>606</v>
      </c>
      <c r="F328" s="65" t="n">
        <v>92</v>
      </c>
    </row>
    <row r="329">
      <c r="A329" s="64" t="n">
        <v>46051</v>
      </c>
      <c r="B329" s="65">
        <f>'⚙ Настройки'!$A$2</f>
        <v/>
      </c>
      <c r="C329" s="66" t="n">
        <v>3000</v>
      </c>
      <c r="D329" s="65" t="n">
        <v>14168</v>
      </c>
      <c r="E329" s="65" t="n">
        <v>283</v>
      </c>
      <c r="F329" s="65" t="n">
        <v>82</v>
      </c>
    </row>
    <row r="330">
      <c r="A330" s="64" t="n">
        <v>46051</v>
      </c>
      <c r="B330" s="65">
        <f>'⚙ Настройки'!$A$3</f>
        <v/>
      </c>
      <c r="C330" s="66" t="n">
        <v>5160</v>
      </c>
      <c r="D330" s="65" t="n">
        <v>28520</v>
      </c>
      <c r="E330" s="65" t="n">
        <v>607</v>
      </c>
      <c r="F330" s="65" t="n">
        <v>103</v>
      </c>
    </row>
    <row r="331">
      <c r="A331" s="64" t="n">
        <v>46051</v>
      </c>
      <c r="B331" s="65">
        <f>'⚙ Настройки'!$A$4</f>
        <v/>
      </c>
      <c r="C331" s="66" t="n">
        <v>6467</v>
      </c>
      <c r="D331" s="65" t="n">
        <v>28742</v>
      </c>
      <c r="E331" s="65" t="n">
        <v>438</v>
      </c>
      <c r="F331" s="65" t="n">
        <v>114</v>
      </c>
    </row>
    <row r="332">
      <c r="A332" s="64" t="n">
        <v>46052</v>
      </c>
      <c r="B332" s="65">
        <f>'⚙ Настройки'!$A$2</f>
        <v/>
      </c>
      <c r="C332" s="66" t="n">
        <v>3191</v>
      </c>
      <c r="D332" s="65" t="n">
        <v>13710</v>
      </c>
      <c r="E332" s="65" t="n">
        <v>235</v>
      </c>
      <c r="F332" s="65" t="n">
        <v>114</v>
      </c>
    </row>
    <row r="333">
      <c r="A333" s="64" t="n">
        <v>46052</v>
      </c>
      <c r="B333" s="65">
        <f>'⚙ Настройки'!$A$3</f>
        <v/>
      </c>
      <c r="C333" s="66" t="n">
        <v>6149</v>
      </c>
      <c r="D333" s="65" t="n">
        <v>31376</v>
      </c>
      <c r="E333" s="65" t="n">
        <v>486</v>
      </c>
      <c r="F333" s="65" t="n">
        <v>95</v>
      </c>
    </row>
    <row r="334">
      <c r="A334" s="64" t="n">
        <v>46052</v>
      </c>
      <c r="B334" s="65">
        <f>'⚙ Настройки'!$A$4</f>
        <v/>
      </c>
      <c r="C334" s="66" t="n">
        <v>5732</v>
      </c>
      <c r="D334" s="65" t="n">
        <v>28154</v>
      </c>
      <c r="E334" s="65" t="n">
        <v>511</v>
      </c>
      <c r="F334" s="65" t="n">
        <v>98</v>
      </c>
    </row>
    <row r="335">
      <c r="A335" s="64" t="n">
        <v>46053</v>
      </c>
      <c r="B335" s="65">
        <f>'⚙ Настройки'!$A$2</f>
        <v/>
      </c>
      <c r="C335" s="66" t="n">
        <v>2508</v>
      </c>
      <c r="D335" s="65" t="n">
        <v>13272</v>
      </c>
      <c r="E335" s="65" t="n">
        <v>263</v>
      </c>
      <c r="F335" s="65" t="n">
        <v>69</v>
      </c>
    </row>
    <row r="336">
      <c r="A336" s="64" t="n">
        <v>46053</v>
      </c>
      <c r="B336" s="65">
        <f>'⚙ Настройки'!$A$3</f>
        <v/>
      </c>
      <c r="C336" s="66" t="n">
        <v>3392</v>
      </c>
      <c r="D336" s="65" t="n">
        <v>17871</v>
      </c>
      <c r="E336" s="65" t="n">
        <v>303</v>
      </c>
      <c r="F336" s="65" t="n">
        <v>62</v>
      </c>
    </row>
    <row r="337">
      <c r="A337" s="64" t="n">
        <v>46053</v>
      </c>
      <c r="B337" s="65">
        <f>'⚙ Настройки'!$A$4</f>
        <v/>
      </c>
      <c r="C337" s="66" t="n">
        <v>6273</v>
      </c>
      <c r="D337" s="65" t="n">
        <v>33897</v>
      </c>
      <c r="E337" s="65" t="n">
        <v>631</v>
      </c>
      <c r="F337" s="65" t="n">
        <v>114</v>
      </c>
    </row>
    <row r="338">
      <c r="A338" s="64" t="n">
        <v>46054</v>
      </c>
      <c r="B338" s="65">
        <f>'⚙ Настройки'!$A$2</f>
        <v/>
      </c>
      <c r="C338" s="66" t="n">
        <v>1560</v>
      </c>
      <c r="D338" s="65" t="n">
        <v>6779</v>
      </c>
      <c r="E338" s="65" t="n">
        <v>143</v>
      </c>
      <c r="F338" s="65" t="n">
        <v>43</v>
      </c>
    </row>
    <row r="339">
      <c r="A339" s="64" t="n">
        <v>46054</v>
      </c>
      <c r="B339" s="65">
        <f>'⚙ Настройки'!$A$3</f>
        <v/>
      </c>
      <c r="C339" s="66" t="n">
        <v>2737</v>
      </c>
      <c r="D339" s="65" t="n">
        <v>12960</v>
      </c>
      <c r="E339" s="65" t="n">
        <v>228</v>
      </c>
      <c r="F339" s="65" t="n">
        <v>53</v>
      </c>
    </row>
    <row r="340">
      <c r="A340" s="64" t="n">
        <v>46054</v>
      </c>
      <c r="B340" s="65">
        <f>'⚙ Настройки'!$A$4</f>
        <v/>
      </c>
      <c r="C340" s="66" t="n">
        <v>5505</v>
      </c>
      <c r="D340" s="65" t="n">
        <v>24247</v>
      </c>
      <c r="E340" s="65" t="n">
        <v>477</v>
      </c>
      <c r="F340" s="65" t="n">
        <v>121</v>
      </c>
    </row>
    <row r="341">
      <c r="A341" s="64" t="n">
        <v>46055</v>
      </c>
      <c r="B341" s="65">
        <f>'⚙ Настройки'!$A$2</f>
        <v/>
      </c>
      <c r="C341" s="66" t="n">
        <v>3228</v>
      </c>
      <c r="D341" s="65" t="n">
        <v>14113</v>
      </c>
      <c r="E341" s="65" t="n">
        <v>213</v>
      </c>
      <c r="F341" s="65" t="n">
        <v>97</v>
      </c>
    </row>
    <row r="342">
      <c r="A342" s="64" t="n">
        <v>46055</v>
      </c>
      <c r="B342" s="65">
        <f>'⚙ Настройки'!$A$3</f>
        <v/>
      </c>
      <c r="C342" s="66" t="n">
        <v>4216</v>
      </c>
      <c r="D342" s="65" t="n">
        <v>18916</v>
      </c>
      <c r="E342" s="65" t="n">
        <v>388</v>
      </c>
      <c r="F342" s="65" t="n">
        <v>64</v>
      </c>
    </row>
    <row r="343">
      <c r="A343" s="64" t="n">
        <v>46055</v>
      </c>
      <c r="B343" s="65">
        <f>'⚙ Настройки'!$A$4</f>
        <v/>
      </c>
      <c r="C343" s="66" t="n">
        <v>6560</v>
      </c>
      <c r="D343" s="65" t="n">
        <v>30377</v>
      </c>
      <c r="E343" s="65" t="n">
        <v>664</v>
      </c>
      <c r="F343" s="65" t="n">
        <v>149</v>
      </c>
    </row>
    <row r="344">
      <c r="A344" s="64" t="n">
        <v>46056</v>
      </c>
      <c r="B344" s="65">
        <f>'⚙ Настройки'!$A$2</f>
        <v/>
      </c>
      <c r="C344" s="66" t="n">
        <v>2900</v>
      </c>
      <c r="D344" s="65" t="n">
        <v>12603</v>
      </c>
      <c r="E344" s="65" t="n">
        <v>258</v>
      </c>
      <c r="F344" s="65" t="n">
        <v>71</v>
      </c>
    </row>
    <row r="345">
      <c r="A345" s="64" t="n">
        <v>46056</v>
      </c>
      <c r="B345" s="65">
        <f>'⚙ Настройки'!$A$3</f>
        <v/>
      </c>
      <c r="C345" s="66" t="n">
        <v>4743</v>
      </c>
      <c r="D345" s="65" t="n">
        <v>21300</v>
      </c>
      <c r="E345" s="65" t="n">
        <v>363</v>
      </c>
      <c r="F345" s="65" t="n">
        <v>77</v>
      </c>
    </row>
    <row r="346">
      <c r="A346" s="64" t="n">
        <v>46056</v>
      </c>
      <c r="B346" s="65">
        <f>'⚙ Настройки'!$A$4</f>
        <v/>
      </c>
      <c r="C346" s="66" t="n">
        <v>7969</v>
      </c>
      <c r="D346" s="65" t="n">
        <v>35976</v>
      </c>
      <c r="E346" s="65" t="n">
        <v>738</v>
      </c>
      <c r="F346" s="65" t="n">
        <v>131</v>
      </c>
    </row>
    <row r="347">
      <c r="A347" s="64" t="n">
        <v>46057</v>
      </c>
      <c r="B347" s="65">
        <f>'⚙ Настройки'!$A$2</f>
        <v/>
      </c>
      <c r="C347" s="66" t="n">
        <v>3019</v>
      </c>
      <c r="D347" s="65" t="n">
        <v>12925</v>
      </c>
      <c r="E347" s="65" t="n">
        <v>252</v>
      </c>
      <c r="F347" s="65" t="n">
        <v>80</v>
      </c>
    </row>
    <row r="348">
      <c r="A348" s="64" t="n">
        <v>46057</v>
      </c>
      <c r="B348" s="65">
        <f>'⚙ Настройки'!$A$3</f>
        <v/>
      </c>
      <c r="C348" s="66" t="n">
        <v>4071</v>
      </c>
      <c r="D348" s="65" t="n">
        <v>17520</v>
      </c>
      <c r="E348" s="65" t="n">
        <v>379</v>
      </c>
      <c r="F348" s="65" t="n">
        <v>80</v>
      </c>
    </row>
    <row r="349">
      <c r="A349" s="64" t="n">
        <v>46057</v>
      </c>
      <c r="B349" s="65">
        <f>'⚙ Настройки'!$A$4</f>
        <v/>
      </c>
      <c r="C349" s="66" t="n">
        <v>8703</v>
      </c>
      <c r="D349" s="65" t="n">
        <v>41900</v>
      </c>
      <c r="E349" s="65" t="n">
        <v>895</v>
      </c>
      <c r="F349" s="65" t="n">
        <v>205</v>
      </c>
    </row>
    <row r="350">
      <c r="A350" s="64" t="n">
        <v>46058</v>
      </c>
      <c r="B350" s="65">
        <f>'⚙ Настройки'!$A$2</f>
        <v/>
      </c>
      <c r="C350" s="66" t="n">
        <v>2509</v>
      </c>
      <c r="D350" s="65" t="n">
        <v>13796</v>
      </c>
      <c r="E350" s="65" t="n">
        <v>208</v>
      </c>
      <c r="F350" s="65" t="n">
        <v>87</v>
      </c>
    </row>
    <row r="351">
      <c r="A351" s="64" t="n">
        <v>46058</v>
      </c>
      <c r="B351" s="65">
        <f>'⚙ Настройки'!$A$3</f>
        <v/>
      </c>
      <c r="C351" s="66" t="n">
        <v>5256</v>
      </c>
      <c r="D351" s="65" t="n">
        <v>24812</v>
      </c>
      <c r="E351" s="65" t="n">
        <v>454</v>
      </c>
      <c r="F351" s="65" t="n">
        <v>167</v>
      </c>
    </row>
    <row r="352">
      <c r="A352" s="64" t="n">
        <v>46058</v>
      </c>
      <c r="B352" s="65">
        <f>'⚙ Настройки'!$A$4</f>
        <v/>
      </c>
      <c r="C352" s="66" t="n">
        <v>9202</v>
      </c>
      <c r="D352" s="65" t="n">
        <v>44950</v>
      </c>
      <c r="E352" s="65" t="n">
        <v>776</v>
      </c>
      <c r="F352" s="65" t="n">
        <v>197</v>
      </c>
    </row>
    <row r="353">
      <c r="A353" s="64" t="n">
        <v>46059</v>
      </c>
      <c r="B353" s="65">
        <f>'⚙ Настройки'!$A$2</f>
        <v/>
      </c>
      <c r="C353" s="66" t="n">
        <v>2330</v>
      </c>
      <c r="D353" s="65" t="n">
        <v>10124</v>
      </c>
      <c r="E353" s="65" t="n">
        <v>187</v>
      </c>
      <c r="F353" s="65" t="n">
        <v>65</v>
      </c>
    </row>
    <row r="354">
      <c r="A354" s="64" t="n">
        <v>46059</v>
      </c>
      <c r="B354" s="65">
        <f>'⚙ Настройки'!$A$3</f>
        <v/>
      </c>
      <c r="C354" s="66" t="n">
        <v>6449</v>
      </c>
      <c r="D354" s="65" t="n">
        <v>33342</v>
      </c>
      <c r="E354" s="65" t="n">
        <v>515</v>
      </c>
      <c r="F354" s="65" t="n">
        <v>185</v>
      </c>
    </row>
    <row r="355">
      <c r="A355" s="64" t="n">
        <v>46059</v>
      </c>
      <c r="B355" s="65">
        <f>'⚙ Настройки'!$A$4</f>
        <v/>
      </c>
      <c r="C355" s="66" t="n">
        <v>6587</v>
      </c>
      <c r="D355" s="65" t="n">
        <v>29403</v>
      </c>
      <c r="E355" s="65" t="n">
        <v>571</v>
      </c>
      <c r="F355" s="65" t="n">
        <v>131</v>
      </c>
    </row>
    <row r="356">
      <c r="A356" s="64" t="n">
        <v>46060</v>
      </c>
      <c r="B356" s="65">
        <f>'⚙ Настройки'!$A$2</f>
        <v/>
      </c>
      <c r="C356" s="66" t="n">
        <v>2164</v>
      </c>
      <c r="D356" s="65" t="n">
        <v>9799</v>
      </c>
      <c r="E356" s="65" t="n">
        <v>176</v>
      </c>
      <c r="F356" s="65" t="n">
        <v>111</v>
      </c>
    </row>
    <row r="357">
      <c r="A357" s="64" t="n">
        <v>46060</v>
      </c>
      <c r="B357" s="65">
        <f>'⚙ Настройки'!$A$3</f>
        <v/>
      </c>
      <c r="C357" s="66" t="n">
        <v>3206</v>
      </c>
      <c r="D357" s="65" t="n">
        <v>13998</v>
      </c>
      <c r="E357" s="65" t="n">
        <v>199</v>
      </c>
      <c r="F357" s="65" t="n">
        <v>93</v>
      </c>
    </row>
    <row r="358">
      <c r="A358" s="64" t="n">
        <v>46060</v>
      </c>
      <c r="B358" s="65">
        <f>'⚙ Настройки'!$A$4</f>
        <v/>
      </c>
      <c r="C358" s="66" t="n">
        <v>4880</v>
      </c>
      <c r="D358" s="65" t="n">
        <v>25899</v>
      </c>
      <c r="E358" s="65" t="n">
        <v>404</v>
      </c>
      <c r="F358" s="65" t="n">
        <v>90</v>
      </c>
    </row>
    <row r="359">
      <c r="A359" s="64" t="n">
        <v>46061</v>
      </c>
      <c r="B359" s="65">
        <f>'⚙ Настройки'!$A$2</f>
        <v/>
      </c>
      <c r="C359" s="66" t="n">
        <v>2341</v>
      </c>
      <c r="D359" s="65" t="n">
        <v>10409</v>
      </c>
      <c r="E359" s="65" t="n">
        <v>188</v>
      </c>
      <c r="F359" s="65" t="n">
        <v>70</v>
      </c>
    </row>
    <row r="360">
      <c r="A360" s="64" t="n">
        <v>46061</v>
      </c>
      <c r="B360" s="65">
        <f>'⚙ Настройки'!$A$3</f>
        <v/>
      </c>
      <c r="C360" s="66" t="n">
        <v>4033</v>
      </c>
      <c r="D360" s="65" t="n">
        <v>21038</v>
      </c>
      <c r="E360" s="65" t="n">
        <v>298</v>
      </c>
      <c r="F360" s="65" t="n">
        <v>73</v>
      </c>
    </row>
    <row r="361">
      <c r="A361" s="64" t="n">
        <v>46061</v>
      </c>
      <c r="B361" s="65">
        <f>'⚙ Настройки'!$A$4</f>
        <v/>
      </c>
      <c r="C361" s="66" t="n">
        <v>4850</v>
      </c>
      <c r="D361" s="65" t="n">
        <v>20330</v>
      </c>
      <c r="E361" s="65" t="n">
        <v>447</v>
      </c>
      <c r="F361" s="65" t="n">
        <v>57</v>
      </c>
    </row>
    <row r="362">
      <c r="A362" s="64" t="n">
        <v>46062</v>
      </c>
      <c r="B362" s="65">
        <f>'⚙ Настройки'!$A$2</f>
        <v/>
      </c>
      <c r="C362" s="66" t="n">
        <v>3147</v>
      </c>
      <c r="D362" s="65" t="n">
        <v>17107</v>
      </c>
      <c r="E362" s="65" t="n">
        <v>340</v>
      </c>
      <c r="F362" s="65" t="n">
        <v>121</v>
      </c>
    </row>
    <row r="363">
      <c r="A363" s="64" t="n">
        <v>46062</v>
      </c>
      <c r="B363" s="65">
        <f>'⚙ Настройки'!$A$3</f>
        <v/>
      </c>
      <c r="C363" s="66" t="n">
        <v>5446</v>
      </c>
      <c r="D363" s="65" t="n">
        <v>25765</v>
      </c>
      <c r="E363" s="65" t="n">
        <v>506</v>
      </c>
      <c r="F363" s="65" t="n">
        <v>157</v>
      </c>
    </row>
    <row r="364">
      <c r="A364" s="64" t="n">
        <v>46062</v>
      </c>
      <c r="B364" s="65">
        <f>'⚙ Настройки'!$A$4</f>
        <v/>
      </c>
      <c r="C364" s="66" t="n">
        <v>7501</v>
      </c>
      <c r="D364" s="65" t="n">
        <v>35746</v>
      </c>
      <c r="E364" s="65" t="n">
        <v>723</v>
      </c>
      <c r="F364" s="65" t="n">
        <v>81</v>
      </c>
    </row>
    <row r="365">
      <c r="A365" s="64" t="n">
        <v>46063</v>
      </c>
      <c r="B365" s="65">
        <f>'⚙ Настройки'!$A$2</f>
        <v/>
      </c>
      <c r="C365" s="66" t="n">
        <v>2297</v>
      </c>
      <c r="D365" s="65" t="n">
        <v>11723</v>
      </c>
      <c r="E365" s="65" t="n">
        <v>233</v>
      </c>
      <c r="F365" s="65" t="n">
        <v>93</v>
      </c>
    </row>
    <row r="366">
      <c r="A366" s="64" t="n">
        <v>46063</v>
      </c>
      <c r="B366" s="65">
        <f>'⚙ Настройки'!$A$3</f>
        <v/>
      </c>
      <c r="C366" s="66" t="n">
        <v>6222</v>
      </c>
      <c r="D366" s="65" t="n">
        <v>27898</v>
      </c>
      <c r="E366" s="65" t="n">
        <v>401</v>
      </c>
      <c r="F366" s="65" t="n">
        <v>175</v>
      </c>
    </row>
    <row r="367">
      <c r="A367" s="64" t="n">
        <v>46063</v>
      </c>
      <c r="B367" s="65">
        <f>'⚙ Настройки'!$A$4</f>
        <v/>
      </c>
      <c r="C367" s="66" t="n">
        <v>8540</v>
      </c>
      <c r="D367" s="65" t="n">
        <v>39141</v>
      </c>
      <c r="E367" s="65" t="n">
        <v>610</v>
      </c>
      <c r="F367" s="65" t="n">
        <v>112</v>
      </c>
    </row>
    <row r="368">
      <c r="A368" s="64" t="n">
        <v>46064</v>
      </c>
      <c r="B368" s="65">
        <f>'⚙ Настройки'!$A$2</f>
        <v/>
      </c>
      <c r="C368" s="66" t="n">
        <v>3272</v>
      </c>
      <c r="D368" s="65" t="n">
        <v>13717</v>
      </c>
      <c r="E368" s="65" t="n">
        <v>246</v>
      </c>
      <c r="F368" s="65" t="n">
        <v>112</v>
      </c>
    </row>
    <row r="369">
      <c r="A369" s="64" t="n">
        <v>46064</v>
      </c>
      <c r="B369" s="65">
        <f>'⚙ Настройки'!$A$3</f>
        <v/>
      </c>
      <c r="C369" s="66" t="n">
        <v>5241</v>
      </c>
      <c r="D369" s="65" t="n">
        <v>24952</v>
      </c>
      <c r="E369" s="65" t="n">
        <v>405</v>
      </c>
      <c r="F369" s="65" t="n">
        <v>148</v>
      </c>
    </row>
    <row r="370">
      <c r="A370" s="64" t="n">
        <v>46064</v>
      </c>
      <c r="B370" s="65">
        <f>'⚙ Настройки'!$A$4</f>
        <v/>
      </c>
      <c r="C370" s="66" t="n">
        <v>8908</v>
      </c>
      <c r="D370" s="65" t="n">
        <v>39208</v>
      </c>
      <c r="E370" s="65" t="n">
        <v>578</v>
      </c>
      <c r="F370" s="65" t="n">
        <v>109</v>
      </c>
    </row>
    <row r="371">
      <c r="A371" s="64" t="n">
        <v>46065</v>
      </c>
      <c r="B371" s="65">
        <f>'⚙ Настройки'!$A$2</f>
        <v/>
      </c>
      <c r="C371" s="66" t="n">
        <v>2894</v>
      </c>
      <c r="D371" s="65" t="n">
        <v>13094</v>
      </c>
      <c r="E371" s="65" t="n">
        <v>264</v>
      </c>
      <c r="F371" s="65" t="n">
        <v>82</v>
      </c>
    </row>
    <row r="372">
      <c r="A372" s="64" t="n">
        <v>46065</v>
      </c>
      <c r="B372" s="65">
        <f>'⚙ Настройки'!$A$3</f>
        <v/>
      </c>
      <c r="C372" s="66" t="n">
        <v>5016</v>
      </c>
      <c r="D372" s="65" t="n">
        <v>26650</v>
      </c>
      <c r="E372" s="65" t="n">
        <v>499</v>
      </c>
      <c r="F372" s="65" t="n">
        <v>77</v>
      </c>
    </row>
    <row r="373">
      <c r="A373" s="64" t="n">
        <v>46065</v>
      </c>
      <c r="B373" s="65">
        <f>'⚙ Настройки'!$A$4</f>
        <v/>
      </c>
      <c r="C373" s="66" t="n">
        <v>7031</v>
      </c>
      <c r="D373" s="65" t="n">
        <v>37057</v>
      </c>
      <c r="E373" s="65" t="n">
        <v>805</v>
      </c>
      <c r="F373" s="65" t="n">
        <v>89</v>
      </c>
    </row>
    <row r="374">
      <c r="A374" s="64" t="n">
        <v>46066</v>
      </c>
      <c r="B374" s="65">
        <f>'⚙ Настройки'!$A$2</f>
        <v/>
      </c>
      <c r="C374" s="66" t="n">
        <v>3137</v>
      </c>
      <c r="D374" s="65" t="n">
        <v>16989</v>
      </c>
      <c r="E374" s="65" t="n">
        <v>258</v>
      </c>
      <c r="F374" s="65" t="n">
        <v>121</v>
      </c>
    </row>
    <row r="375">
      <c r="A375" s="64" t="n">
        <v>46066</v>
      </c>
      <c r="B375" s="65">
        <f>'⚙ Настройки'!$A$3</f>
        <v/>
      </c>
      <c r="C375" s="66" t="n">
        <v>4341</v>
      </c>
      <c r="D375" s="65" t="n">
        <v>20250</v>
      </c>
      <c r="E375" s="65" t="n">
        <v>404</v>
      </c>
      <c r="F375" s="65" t="n">
        <v>117</v>
      </c>
    </row>
    <row r="376">
      <c r="A376" s="64" t="n">
        <v>46066</v>
      </c>
      <c r="B376" s="65">
        <f>'⚙ Настройки'!$A$4</f>
        <v/>
      </c>
      <c r="C376" s="66" t="n">
        <v>8548</v>
      </c>
      <c r="D376" s="65" t="n">
        <v>45445</v>
      </c>
      <c r="E376" s="65" t="n">
        <v>937</v>
      </c>
      <c r="F376" s="65" t="n">
        <v>91</v>
      </c>
    </row>
    <row r="377">
      <c r="A377" s="64" t="n">
        <v>46067</v>
      </c>
      <c r="B377" s="65">
        <f>'⚙ Настройки'!$A$2</f>
        <v/>
      </c>
      <c r="C377" s="66" t="n">
        <v>2302</v>
      </c>
      <c r="D377" s="65" t="n">
        <v>11611</v>
      </c>
      <c r="E377" s="65" t="n">
        <v>215</v>
      </c>
      <c r="F377" s="65" t="n">
        <v>117</v>
      </c>
    </row>
    <row r="378">
      <c r="A378" s="64" t="n">
        <v>46067</v>
      </c>
      <c r="B378" s="65">
        <f>'⚙ Настройки'!$A$3</f>
        <v/>
      </c>
      <c r="C378" s="66" t="n">
        <v>4296</v>
      </c>
      <c r="D378" s="65" t="n">
        <v>18184</v>
      </c>
      <c r="E378" s="65" t="n">
        <v>311</v>
      </c>
      <c r="F378" s="65" t="n">
        <v>90</v>
      </c>
    </row>
    <row r="379">
      <c r="A379" s="64" t="n">
        <v>46067</v>
      </c>
      <c r="B379" s="65">
        <f>'⚙ Настройки'!$A$4</f>
        <v/>
      </c>
      <c r="C379" s="66" t="n">
        <v>6415</v>
      </c>
      <c r="D379" s="65" t="n">
        <v>28549</v>
      </c>
      <c r="E379" s="65" t="n">
        <v>590</v>
      </c>
      <c r="F379" s="65" t="n">
        <v>75</v>
      </c>
    </row>
    <row r="380">
      <c r="A380" s="64" t="n">
        <v>46068</v>
      </c>
      <c r="B380" s="65">
        <f>'⚙ Настройки'!$A$2</f>
        <v/>
      </c>
      <c r="C380" s="66" t="n">
        <v>1603</v>
      </c>
      <c r="D380" s="65" t="n">
        <v>8173</v>
      </c>
      <c r="E380" s="65" t="n">
        <v>158</v>
      </c>
      <c r="F380" s="65" t="n">
        <v>43</v>
      </c>
    </row>
    <row r="381">
      <c r="A381" s="64" t="n">
        <v>46068</v>
      </c>
      <c r="B381" s="65">
        <f>'⚙ Настройки'!$A$3</f>
        <v/>
      </c>
      <c r="C381" s="66" t="n">
        <v>4326</v>
      </c>
      <c r="D381" s="65" t="n">
        <v>20450</v>
      </c>
      <c r="E381" s="65" t="n">
        <v>351</v>
      </c>
      <c r="F381" s="65" t="n">
        <v>63</v>
      </c>
    </row>
    <row r="382">
      <c r="A382" s="64" t="n">
        <v>46068</v>
      </c>
      <c r="B382" s="65">
        <f>'⚙ Настройки'!$A$4</f>
        <v/>
      </c>
      <c r="C382" s="66" t="n">
        <v>5583</v>
      </c>
      <c r="D382" s="65" t="n">
        <v>27086</v>
      </c>
      <c r="E382" s="65" t="n">
        <v>558</v>
      </c>
      <c r="F382" s="65" t="n">
        <v>66</v>
      </c>
    </row>
    <row r="383">
      <c r="A383" s="64" t="n">
        <v>46069</v>
      </c>
      <c r="B383" s="65">
        <f>'⚙ Настройки'!$A$2</f>
        <v/>
      </c>
      <c r="C383" s="66" t="n">
        <v>3197</v>
      </c>
      <c r="D383" s="65" t="n">
        <v>16191</v>
      </c>
      <c r="E383" s="65" t="n">
        <v>294</v>
      </c>
      <c r="F383" s="65" t="n">
        <v>102</v>
      </c>
    </row>
    <row r="384">
      <c r="A384" s="64" t="n">
        <v>46069</v>
      </c>
      <c r="B384" s="65">
        <f>'⚙ Настройки'!$A$3</f>
        <v/>
      </c>
      <c r="C384" s="66" t="n">
        <v>6021</v>
      </c>
      <c r="D384" s="65" t="n">
        <v>30058</v>
      </c>
      <c r="E384" s="65" t="n">
        <v>479</v>
      </c>
      <c r="F384" s="65" t="n">
        <v>137</v>
      </c>
    </row>
    <row r="385">
      <c r="A385" s="64" t="n">
        <v>46069</v>
      </c>
      <c r="B385" s="65">
        <f>'⚙ Настройки'!$A$4</f>
        <v/>
      </c>
      <c r="C385" s="66" t="n">
        <v>9056</v>
      </c>
      <c r="D385" s="65" t="n">
        <v>45752</v>
      </c>
      <c r="E385" s="65" t="n">
        <v>992</v>
      </c>
      <c r="F385" s="65" t="n">
        <v>128</v>
      </c>
    </row>
    <row r="386">
      <c r="A386" s="64" t="n">
        <v>46070</v>
      </c>
      <c r="B386" s="65">
        <f>'⚙ Настройки'!$A$2</f>
        <v/>
      </c>
      <c r="C386" s="66" t="n">
        <v>2892</v>
      </c>
      <c r="D386" s="65" t="n">
        <v>15456</v>
      </c>
      <c r="E386" s="65" t="n">
        <v>327</v>
      </c>
      <c r="F386" s="65" t="n">
        <v>118</v>
      </c>
    </row>
    <row r="387">
      <c r="A387" s="64" t="n">
        <v>46070</v>
      </c>
      <c r="B387" s="65">
        <f>'⚙ Настройки'!$A$3</f>
        <v/>
      </c>
      <c r="C387" s="66" t="n">
        <v>5125</v>
      </c>
      <c r="D387" s="65" t="n">
        <v>21455</v>
      </c>
      <c r="E387" s="65" t="n">
        <v>438</v>
      </c>
      <c r="F387" s="65" t="n">
        <v>76</v>
      </c>
    </row>
    <row r="388">
      <c r="A388" s="64" t="n">
        <v>46070</v>
      </c>
      <c r="B388" s="65">
        <f>'⚙ Настройки'!$A$4</f>
        <v/>
      </c>
      <c r="C388" s="66" t="n">
        <v>9354</v>
      </c>
      <c r="D388" s="65" t="n">
        <v>50035</v>
      </c>
      <c r="E388" s="65" t="n">
        <v>1088</v>
      </c>
      <c r="F388" s="65" t="n">
        <v>110</v>
      </c>
    </row>
    <row r="389">
      <c r="A389" s="64" t="n">
        <v>46071</v>
      </c>
      <c r="B389" s="65">
        <f>'⚙ Настройки'!$A$2</f>
        <v/>
      </c>
      <c r="C389" s="66" t="n">
        <v>3649</v>
      </c>
      <c r="D389" s="65" t="n">
        <v>15450</v>
      </c>
      <c r="E389" s="65" t="n">
        <v>218</v>
      </c>
      <c r="F389" s="65" t="n">
        <v>117</v>
      </c>
    </row>
    <row r="390">
      <c r="A390" s="64" t="n">
        <v>46071</v>
      </c>
      <c r="B390" s="65">
        <f>'⚙ Настройки'!$A$3</f>
        <v/>
      </c>
      <c r="C390" s="66" t="n">
        <v>6136</v>
      </c>
      <c r="D390" s="65" t="n">
        <v>26579</v>
      </c>
      <c r="E390" s="65" t="n">
        <v>383</v>
      </c>
      <c r="F390" s="65" t="n">
        <v>119</v>
      </c>
    </row>
    <row r="391">
      <c r="A391" s="64" t="n">
        <v>46071</v>
      </c>
      <c r="B391" s="65">
        <f>'⚙ Настройки'!$A$4</f>
        <v/>
      </c>
      <c r="C391" s="66" t="n">
        <v>6708</v>
      </c>
      <c r="D391" s="65" t="n">
        <v>29127</v>
      </c>
      <c r="E391" s="65" t="n">
        <v>462</v>
      </c>
      <c r="F391" s="65" t="n">
        <v>128</v>
      </c>
    </row>
    <row r="392">
      <c r="A392" s="64" t="n">
        <v>46072</v>
      </c>
      <c r="B392" s="65">
        <f>'⚙ Настройки'!$A$2</f>
        <v/>
      </c>
      <c r="C392" s="66" t="n">
        <v>3420</v>
      </c>
      <c r="D392" s="65" t="n">
        <v>14365</v>
      </c>
      <c r="E392" s="65" t="n">
        <v>253</v>
      </c>
      <c r="F392" s="65" t="n">
        <v>130</v>
      </c>
    </row>
    <row r="393">
      <c r="A393" s="64" t="n">
        <v>46072</v>
      </c>
      <c r="B393" s="65">
        <f>'⚙ Настройки'!$A$3</f>
        <v/>
      </c>
      <c r="C393" s="66" t="n">
        <v>6523</v>
      </c>
      <c r="D393" s="65" t="n">
        <v>27633</v>
      </c>
      <c r="E393" s="65" t="n">
        <v>442</v>
      </c>
      <c r="F393" s="65" t="n">
        <v>137</v>
      </c>
    </row>
    <row r="394">
      <c r="A394" s="64" t="n">
        <v>46072</v>
      </c>
      <c r="B394" s="65">
        <f>'⚙ Настройки'!$A$4</f>
        <v/>
      </c>
      <c r="C394" s="66" t="n">
        <v>7505</v>
      </c>
      <c r="D394" s="65" t="n">
        <v>38646</v>
      </c>
      <c r="E394" s="65" t="n">
        <v>693</v>
      </c>
      <c r="F394" s="65" t="n">
        <v>82</v>
      </c>
    </row>
    <row r="395">
      <c r="A395" s="64" t="n">
        <v>46073</v>
      </c>
      <c r="B395" s="65">
        <f>'⚙ Настройки'!$A$2</f>
        <v/>
      </c>
      <c r="C395" s="66" t="n">
        <v>2524</v>
      </c>
      <c r="D395" s="65" t="n">
        <v>10662</v>
      </c>
      <c r="E395" s="65" t="n">
        <v>167</v>
      </c>
      <c r="F395" s="65" t="n">
        <v>74</v>
      </c>
    </row>
    <row r="396">
      <c r="A396" s="64" t="n">
        <v>46073</v>
      </c>
      <c r="B396" s="65">
        <f>'⚙ Настройки'!$A$3</f>
        <v/>
      </c>
      <c r="C396" s="66" t="n">
        <v>5666</v>
      </c>
      <c r="D396" s="65" t="n">
        <v>28068</v>
      </c>
      <c r="E396" s="65" t="n">
        <v>512</v>
      </c>
      <c r="F396" s="65" t="n">
        <v>171</v>
      </c>
    </row>
    <row r="397">
      <c r="A397" s="64" t="n">
        <v>46073</v>
      </c>
      <c r="B397" s="65">
        <f>'⚙ Настройки'!$A$4</f>
        <v/>
      </c>
      <c r="C397" s="66" t="n">
        <v>8387</v>
      </c>
      <c r="D397" s="65" t="n">
        <v>37673</v>
      </c>
      <c r="E397" s="65" t="n">
        <v>646</v>
      </c>
      <c r="F397" s="65" t="n">
        <v>99</v>
      </c>
    </row>
    <row r="398">
      <c r="A398" s="64" t="n">
        <v>46074</v>
      </c>
      <c r="B398" s="65">
        <f>'⚙ Настройки'!$A$2</f>
        <v/>
      </c>
      <c r="C398" s="66" t="n">
        <v>1698</v>
      </c>
      <c r="D398" s="65" t="n">
        <v>8030</v>
      </c>
      <c r="E398" s="65" t="n">
        <v>174</v>
      </c>
      <c r="F398" s="65" t="n">
        <v>75</v>
      </c>
    </row>
    <row r="399">
      <c r="A399" s="64" t="n">
        <v>46074</v>
      </c>
      <c r="B399" s="65">
        <f>'⚙ Настройки'!$A$3</f>
        <v/>
      </c>
      <c r="C399" s="66" t="n">
        <v>3599</v>
      </c>
      <c r="D399" s="65" t="n">
        <v>17115</v>
      </c>
      <c r="E399" s="65" t="n">
        <v>242</v>
      </c>
      <c r="F399" s="65" t="n">
        <v>100</v>
      </c>
    </row>
    <row r="400">
      <c r="A400" s="64" t="n">
        <v>46074</v>
      </c>
      <c r="B400" s="65">
        <f>'⚙ Настройки'!$A$4</f>
        <v/>
      </c>
      <c r="C400" s="66" t="n">
        <v>6169</v>
      </c>
      <c r="D400" s="65" t="n">
        <v>27918</v>
      </c>
      <c r="E400" s="65" t="n">
        <v>601</v>
      </c>
      <c r="F400" s="65" t="n">
        <v>71</v>
      </c>
    </row>
    <row r="401">
      <c r="A401" s="64" t="n">
        <v>46075</v>
      </c>
      <c r="B401" s="65">
        <f>'⚙ Настройки'!$A$2</f>
        <v/>
      </c>
      <c r="C401" s="66" t="n">
        <v>2403</v>
      </c>
      <c r="D401" s="65" t="n">
        <v>11414</v>
      </c>
      <c r="E401" s="65" t="n">
        <v>241</v>
      </c>
      <c r="F401" s="65" t="n">
        <v>64</v>
      </c>
    </row>
    <row r="402">
      <c r="A402" s="64" t="n">
        <v>46075</v>
      </c>
      <c r="B402" s="65">
        <f>'⚙ Настройки'!$A$3</f>
        <v/>
      </c>
      <c r="C402" s="66" t="n">
        <v>4604</v>
      </c>
      <c r="D402" s="65" t="n">
        <v>20318</v>
      </c>
      <c r="E402" s="65" t="n">
        <v>437</v>
      </c>
      <c r="F402" s="65" t="n">
        <v>82</v>
      </c>
    </row>
    <row r="403">
      <c r="A403" s="64" t="n">
        <v>46075</v>
      </c>
      <c r="B403" s="65">
        <f>'⚙ Настройки'!$A$4</f>
        <v/>
      </c>
      <c r="C403" s="66" t="n">
        <v>5133</v>
      </c>
      <c r="D403" s="65" t="n">
        <v>27712</v>
      </c>
      <c r="E403" s="65" t="n">
        <v>533</v>
      </c>
      <c r="F403" s="65" t="n">
        <v>59</v>
      </c>
    </row>
    <row r="404">
      <c r="A404" s="64" t="n">
        <v>46076</v>
      </c>
      <c r="B404" s="65">
        <f>'⚙ Настройки'!$A$2</f>
        <v/>
      </c>
      <c r="C404" s="66" t="n">
        <v>2564</v>
      </c>
      <c r="D404" s="65" t="n">
        <v>10964</v>
      </c>
      <c r="E404" s="65" t="n">
        <v>196</v>
      </c>
      <c r="F404" s="65" t="n">
        <v>129</v>
      </c>
    </row>
    <row r="405">
      <c r="A405" s="64" t="n">
        <v>46076</v>
      </c>
      <c r="B405" s="65">
        <f>'⚙ Настройки'!$A$3</f>
        <v/>
      </c>
      <c r="C405" s="66" t="n">
        <v>6157</v>
      </c>
      <c r="D405" s="65" t="n">
        <v>26418</v>
      </c>
      <c r="E405" s="65" t="n">
        <v>557</v>
      </c>
      <c r="F405" s="65" t="n">
        <v>194</v>
      </c>
    </row>
    <row r="406">
      <c r="A406" s="64" t="n">
        <v>46076</v>
      </c>
      <c r="B406" s="65">
        <f>'⚙ Настройки'!$A$4</f>
        <v/>
      </c>
      <c r="C406" s="66" t="n">
        <v>7084</v>
      </c>
      <c r="D406" s="65" t="n">
        <v>32843</v>
      </c>
      <c r="E406" s="65" t="n">
        <v>680</v>
      </c>
      <c r="F406" s="65" t="n">
        <v>83</v>
      </c>
    </row>
    <row r="407">
      <c r="A407" s="64" t="n">
        <v>46077</v>
      </c>
      <c r="B407" s="65">
        <f>'⚙ Настройки'!$A$2</f>
        <v/>
      </c>
      <c r="C407" s="66" t="n">
        <v>2230</v>
      </c>
      <c r="D407" s="65" t="n">
        <v>10644</v>
      </c>
      <c r="E407" s="65" t="n">
        <v>187</v>
      </c>
      <c r="F407" s="65" t="n">
        <v>82</v>
      </c>
    </row>
    <row r="408">
      <c r="A408" s="64" t="n">
        <v>46077</v>
      </c>
      <c r="B408" s="65">
        <f>'⚙ Настройки'!$A$3</f>
        <v/>
      </c>
      <c r="C408" s="66" t="n">
        <v>5716</v>
      </c>
      <c r="D408" s="65" t="n">
        <v>29171</v>
      </c>
      <c r="E408" s="65" t="n">
        <v>567</v>
      </c>
      <c r="F408" s="65" t="n">
        <v>138</v>
      </c>
    </row>
    <row r="409">
      <c r="A409" s="64" t="n">
        <v>46077</v>
      </c>
      <c r="B409" s="65">
        <f>'⚙ Настройки'!$A$4</f>
        <v/>
      </c>
      <c r="C409" s="66" t="n">
        <v>5801</v>
      </c>
      <c r="D409" s="65" t="n">
        <v>27710</v>
      </c>
      <c r="E409" s="65" t="n">
        <v>392</v>
      </c>
      <c r="F409" s="65" t="n">
        <v>122</v>
      </c>
    </row>
    <row r="410">
      <c r="A410" s="64" t="n">
        <v>46078</v>
      </c>
      <c r="B410" s="65">
        <f>'⚙ Настройки'!$A$2</f>
        <v/>
      </c>
      <c r="C410" s="66" t="n">
        <v>2436</v>
      </c>
      <c r="D410" s="65" t="n">
        <v>12141</v>
      </c>
      <c r="E410" s="65" t="n">
        <v>201</v>
      </c>
      <c r="F410" s="65" t="n">
        <v>60</v>
      </c>
    </row>
    <row r="411">
      <c r="A411" s="64" t="n">
        <v>46078</v>
      </c>
      <c r="B411" s="65">
        <f>'⚙ Настройки'!$A$3</f>
        <v/>
      </c>
      <c r="C411" s="66" t="n">
        <v>5457</v>
      </c>
      <c r="D411" s="65" t="n">
        <v>23176</v>
      </c>
      <c r="E411" s="65" t="n">
        <v>440</v>
      </c>
      <c r="F411" s="65" t="n">
        <v>135</v>
      </c>
    </row>
    <row r="412">
      <c r="A412" s="64" t="n">
        <v>46078</v>
      </c>
      <c r="B412" s="65">
        <f>'⚙ Настройки'!$A$4</f>
        <v/>
      </c>
      <c r="C412" s="66" t="n">
        <v>8926</v>
      </c>
      <c r="D412" s="65" t="n">
        <v>43516</v>
      </c>
      <c r="E412" s="65" t="n">
        <v>820</v>
      </c>
      <c r="F412" s="65" t="n">
        <v>134</v>
      </c>
    </row>
    <row r="413">
      <c r="A413" s="64" t="n">
        <v>46079</v>
      </c>
      <c r="B413" s="65">
        <f>'⚙ Настройки'!$A$2</f>
        <v/>
      </c>
      <c r="C413" s="66" t="n">
        <v>2232</v>
      </c>
      <c r="D413" s="65" t="n">
        <v>9918</v>
      </c>
      <c r="E413" s="65" t="n">
        <v>205</v>
      </c>
      <c r="F413" s="65" t="n">
        <v>100</v>
      </c>
    </row>
    <row r="414">
      <c r="A414" s="64" t="n">
        <v>46079</v>
      </c>
      <c r="B414" s="65">
        <f>'⚙ Настройки'!$A$3</f>
        <v/>
      </c>
      <c r="C414" s="66" t="n">
        <v>5405</v>
      </c>
      <c r="D414" s="65" t="n">
        <v>26235</v>
      </c>
      <c r="E414" s="65" t="n">
        <v>567</v>
      </c>
      <c r="F414" s="65" t="n">
        <v>129</v>
      </c>
    </row>
    <row r="415">
      <c r="A415" s="64" t="n">
        <v>46079</v>
      </c>
      <c r="B415" s="65">
        <f>'⚙ Настройки'!$A$4</f>
        <v/>
      </c>
      <c r="C415" s="66" t="n">
        <v>7093</v>
      </c>
      <c r="D415" s="65" t="n">
        <v>36786</v>
      </c>
      <c r="E415" s="65" t="n">
        <v>619</v>
      </c>
      <c r="F415" s="65" t="n">
        <v>81</v>
      </c>
    </row>
    <row r="416">
      <c r="A416" s="64" t="n">
        <v>46080</v>
      </c>
      <c r="B416" s="65">
        <f>'⚙ Настройки'!$A$2</f>
        <v/>
      </c>
      <c r="C416" s="66" t="n">
        <v>3611</v>
      </c>
      <c r="D416" s="65" t="n">
        <v>16209</v>
      </c>
      <c r="E416" s="65" t="n">
        <v>344</v>
      </c>
      <c r="F416" s="65" t="n">
        <v>135</v>
      </c>
    </row>
    <row r="417">
      <c r="A417" s="64" t="n">
        <v>46080</v>
      </c>
      <c r="B417" s="65">
        <f>'⚙ Настройки'!$A$3</f>
        <v/>
      </c>
      <c r="C417" s="66" t="n">
        <v>4836</v>
      </c>
      <c r="D417" s="65" t="n">
        <v>22097</v>
      </c>
      <c r="E417" s="65" t="n">
        <v>331</v>
      </c>
      <c r="F417" s="65" t="n">
        <v>89</v>
      </c>
    </row>
    <row r="418">
      <c r="A418" s="64" t="n">
        <v>46080</v>
      </c>
      <c r="B418" s="65">
        <f>'⚙ Настройки'!$A$4</f>
        <v/>
      </c>
      <c r="C418" s="66" t="n">
        <v>8199</v>
      </c>
      <c r="D418" s="65" t="n">
        <v>41508</v>
      </c>
      <c r="E418" s="65" t="n">
        <v>610</v>
      </c>
      <c r="F418" s="65" t="n">
        <v>146</v>
      </c>
    </row>
    <row r="419">
      <c r="A419" s="64" t="n">
        <v>46081</v>
      </c>
      <c r="B419" s="65">
        <f>'⚙ Настройки'!$A$2</f>
        <v/>
      </c>
      <c r="C419" s="66" t="n">
        <v>1952</v>
      </c>
      <c r="D419" s="65" t="n">
        <v>9589</v>
      </c>
      <c r="E419" s="65" t="n">
        <v>211</v>
      </c>
      <c r="F419" s="65" t="n">
        <v>57</v>
      </c>
    </row>
    <row r="420">
      <c r="A420" s="64" t="n">
        <v>46081</v>
      </c>
      <c r="B420" s="65">
        <f>'⚙ Настройки'!$A$3</f>
        <v/>
      </c>
      <c r="C420" s="66" t="n">
        <v>4610</v>
      </c>
      <c r="D420" s="65" t="n">
        <v>21866</v>
      </c>
      <c r="E420" s="65" t="n">
        <v>353</v>
      </c>
      <c r="F420" s="65" t="n">
        <v>94</v>
      </c>
    </row>
    <row r="421">
      <c r="A421" s="64" t="n">
        <v>46081</v>
      </c>
      <c r="B421" s="65">
        <f>'⚙ Настройки'!$A$4</f>
        <v/>
      </c>
      <c r="C421" s="66" t="n">
        <v>5968</v>
      </c>
      <c r="D421" s="65" t="n">
        <v>28898</v>
      </c>
      <c r="E421" s="65" t="n">
        <v>557</v>
      </c>
      <c r="F421" s="65" t="n">
        <v>70</v>
      </c>
    </row>
    <row r="422">
      <c r="A422" s="64" t="n">
        <v>46082</v>
      </c>
      <c r="B422" s="65">
        <f>'⚙ Настройки'!$A$2</f>
        <v/>
      </c>
      <c r="C422" s="66" t="n">
        <v>1943</v>
      </c>
      <c r="D422" s="65" t="n">
        <v>9447</v>
      </c>
      <c r="E422" s="65" t="n">
        <v>153</v>
      </c>
      <c r="F422" s="65" t="n">
        <v>95</v>
      </c>
    </row>
    <row r="423">
      <c r="A423" s="64" t="n">
        <v>46082</v>
      </c>
      <c r="B423" s="65">
        <f>'⚙ Настройки'!$A$3</f>
        <v/>
      </c>
      <c r="C423" s="66" t="n">
        <v>3822</v>
      </c>
      <c r="D423" s="65" t="n">
        <v>20232</v>
      </c>
      <c r="E423" s="65" t="n">
        <v>303</v>
      </c>
      <c r="F423" s="65" t="n">
        <v>108</v>
      </c>
    </row>
    <row r="424">
      <c r="A424" s="64" t="n">
        <v>46082</v>
      </c>
      <c r="B424" s="65">
        <f>'⚙ Настройки'!$A$4</f>
        <v/>
      </c>
      <c r="C424" s="66" t="n">
        <v>4399</v>
      </c>
      <c r="D424" s="65" t="n">
        <v>19907</v>
      </c>
      <c r="E424" s="65" t="n">
        <v>285</v>
      </c>
      <c r="F424" s="65" t="n">
        <v>51</v>
      </c>
    </row>
    <row r="425">
      <c r="A425" s="64" t="n">
        <v>46083</v>
      </c>
      <c r="B425" s="65">
        <f>'⚙ Настройки'!$A$2</f>
        <v/>
      </c>
      <c r="C425" s="66" t="n">
        <v>2392</v>
      </c>
      <c r="D425" s="65" t="n">
        <v>10396</v>
      </c>
      <c r="E425" s="65" t="n">
        <v>169</v>
      </c>
      <c r="F425" s="65" t="n">
        <v>55</v>
      </c>
    </row>
    <row r="426">
      <c r="A426" s="64" t="n">
        <v>46083</v>
      </c>
      <c r="B426" s="65">
        <f>'⚙ Настройки'!$A$3</f>
        <v/>
      </c>
      <c r="C426" s="66" t="n">
        <v>4821</v>
      </c>
      <c r="D426" s="65" t="n">
        <v>23587</v>
      </c>
      <c r="E426" s="65" t="n">
        <v>385</v>
      </c>
      <c r="F426" s="65" t="n">
        <v>121</v>
      </c>
    </row>
    <row r="427">
      <c r="A427" s="64" t="n">
        <v>46083</v>
      </c>
      <c r="B427" s="65">
        <f>'⚙ Настройки'!$A$4</f>
        <v/>
      </c>
      <c r="C427" s="66" t="n">
        <v>6538</v>
      </c>
      <c r="D427" s="65" t="n">
        <v>33308</v>
      </c>
      <c r="E427" s="65" t="n">
        <v>722</v>
      </c>
      <c r="F427" s="65" t="n">
        <v>107</v>
      </c>
    </row>
    <row r="428">
      <c r="A428" s="64" t="n">
        <v>46084</v>
      </c>
      <c r="B428" s="65">
        <f>'⚙ Настройки'!$A$2</f>
        <v/>
      </c>
      <c r="C428" s="66" t="n">
        <v>2615</v>
      </c>
      <c r="D428" s="65" t="n">
        <v>13346</v>
      </c>
      <c r="E428" s="65" t="n">
        <v>241</v>
      </c>
      <c r="F428" s="65" t="n">
        <v>109</v>
      </c>
    </row>
    <row r="429">
      <c r="A429" s="64" t="n">
        <v>46084</v>
      </c>
      <c r="B429" s="65">
        <f>'⚙ Настройки'!$A$3</f>
        <v/>
      </c>
      <c r="C429" s="66" t="n">
        <v>4273</v>
      </c>
      <c r="D429" s="65" t="n">
        <v>20082</v>
      </c>
      <c r="E429" s="65" t="n">
        <v>416</v>
      </c>
      <c r="F429" s="65" t="n">
        <v>78</v>
      </c>
    </row>
    <row r="430">
      <c r="A430" s="64" t="n">
        <v>46084</v>
      </c>
      <c r="B430" s="65">
        <f>'⚙ Настройки'!$A$4</f>
        <v/>
      </c>
      <c r="C430" s="66" t="n">
        <v>6701</v>
      </c>
      <c r="D430" s="65" t="n">
        <v>28711</v>
      </c>
      <c r="E430" s="65" t="n">
        <v>542</v>
      </c>
      <c r="F430" s="65" t="n">
        <v>74</v>
      </c>
    </row>
    <row r="431">
      <c r="A431" s="64" t="n">
        <v>46085</v>
      </c>
      <c r="B431" s="65">
        <f>'⚙ Настройки'!$A$2</f>
        <v/>
      </c>
      <c r="C431" s="66" t="n">
        <v>2804</v>
      </c>
      <c r="D431" s="65" t="n">
        <v>11813</v>
      </c>
      <c r="E431" s="65" t="n">
        <v>249</v>
      </c>
      <c r="F431" s="65" t="n">
        <v>70</v>
      </c>
    </row>
    <row r="432">
      <c r="A432" s="64" t="n">
        <v>46085</v>
      </c>
      <c r="B432" s="65">
        <f>'⚙ Настройки'!$A$3</f>
        <v/>
      </c>
      <c r="C432" s="66" t="n">
        <v>5577</v>
      </c>
      <c r="D432" s="65" t="n">
        <v>25463</v>
      </c>
      <c r="E432" s="65" t="n">
        <v>397</v>
      </c>
      <c r="F432" s="65" t="n">
        <v>95</v>
      </c>
    </row>
    <row r="433">
      <c r="A433" s="64" t="n">
        <v>46085</v>
      </c>
      <c r="B433" s="65">
        <f>'⚙ Настройки'!$A$4</f>
        <v/>
      </c>
      <c r="C433" s="66" t="n">
        <v>7371</v>
      </c>
      <c r="D433" s="65" t="n">
        <v>35103</v>
      </c>
      <c r="E433" s="65" t="n">
        <v>760</v>
      </c>
      <c r="F433" s="65" t="n">
        <v>107</v>
      </c>
    </row>
    <row r="434">
      <c r="A434" s="64" t="n">
        <v>46086</v>
      </c>
      <c r="B434" s="65">
        <f>'⚙ Настройки'!$A$2</f>
        <v/>
      </c>
      <c r="C434" s="66" t="n">
        <v>3193</v>
      </c>
      <c r="D434" s="65" t="n">
        <v>13598</v>
      </c>
      <c r="E434" s="65" t="n">
        <v>293</v>
      </c>
      <c r="F434" s="65" t="n">
        <v>96</v>
      </c>
    </row>
    <row r="435">
      <c r="A435" s="64" t="n">
        <v>46086</v>
      </c>
      <c r="B435" s="65">
        <f>'⚙ Настройки'!$A$3</f>
        <v/>
      </c>
      <c r="C435" s="66" t="n">
        <v>5288</v>
      </c>
      <c r="D435" s="65" t="n">
        <v>24840</v>
      </c>
      <c r="E435" s="65" t="n">
        <v>470</v>
      </c>
      <c r="F435" s="65" t="n">
        <v>108</v>
      </c>
    </row>
    <row r="436">
      <c r="A436" s="64" t="n">
        <v>46086</v>
      </c>
      <c r="B436" s="65">
        <f>'⚙ Настройки'!$A$4</f>
        <v/>
      </c>
      <c r="C436" s="66" t="n">
        <v>9694</v>
      </c>
      <c r="D436" s="65" t="n">
        <v>50657</v>
      </c>
      <c r="E436" s="65" t="n">
        <v>1046</v>
      </c>
      <c r="F436" s="65" t="n">
        <v>194</v>
      </c>
    </row>
    <row r="437">
      <c r="A437" s="64" t="n">
        <v>46087</v>
      </c>
      <c r="B437" s="65">
        <f>'⚙ Настройки'!$A$2</f>
        <v/>
      </c>
      <c r="C437" s="66" t="n">
        <v>3329</v>
      </c>
      <c r="D437" s="65" t="n">
        <v>18194</v>
      </c>
      <c r="E437" s="65" t="n">
        <v>361</v>
      </c>
      <c r="F437" s="65" t="n">
        <v>108</v>
      </c>
    </row>
    <row r="438">
      <c r="A438" s="64" t="n">
        <v>46087</v>
      </c>
      <c r="B438" s="65">
        <f>'⚙ Настройки'!$A$3</f>
        <v/>
      </c>
      <c r="C438" s="66" t="n">
        <v>4888</v>
      </c>
      <c r="D438" s="65" t="n">
        <v>25127</v>
      </c>
      <c r="E438" s="65" t="n">
        <v>396</v>
      </c>
      <c r="F438" s="65" t="n">
        <v>96</v>
      </c>
    </row>
    <row r="439">
      <c r="A439" s="64" t="n">
        <v>46087</v>
      </c>
      <c r="B439" s="65">
        <f>'⚙ Настройки'!$A$4</f>
        <v/>
      </c>
      <c r="C439" s="66" t="n">
        <v>7906</v>
      </c>
      <c r="D439" s="65" t="n">
        <v>43917</v>
      </c>
      <c r="E439" s="65" t="n">
        <v>676</v>
      </c>
      <c r="F439" s="65" t="n">
        <v>85</v>
      </c>
    </row>
    <row r="440">
      <c r="A440" s="64" t="n">
        <v>46088</v>
      </c>
      <c r="B440" s="65">
        <f>'⚙ Настройки'!$A$2</f>
        <v/>
      </c>
      <c r="C440" s="66" t="n">
        <v>2368</v>
      </c>
      <c r="D440" s="65" t="n">
        <v>10829</v>
      </c>
      <c r="E440" s="65" t="n">
        <v>176</v>
      </c>
      <c r="F440" s="65" t="n">
        <v>116</v>
      </c>
    </row>
    <row r="441">
      <c r="A441" s="64" t="n">
        <v>46088</v>
      </c>
      <c r="B441" s="65">
        <f>'⚙ Настройки'!$A$3</f>
        <v/>
      </c>
      <c r="C441" s="66" t="n">
        <v>3563</v>
      </c>
      <c r="D441" s="65" t="n">
        <v>16561</v>
      </c>
      <c r="E441" s="65" t="n">
        <v>233</v>
      </c>
      <c r="F441" s="65" t="n">
        <v>80</v>
      </c>
    </row>
    <row r="442">
      <c r="A442" s="64" t="n">
        <v>46088</v>
      </c>
      <c r="B442" s="65">
        <f>'⚙ Настройки'!$A$4</f>
        <v/>
      </c>
      <c r="C442" s="66" t="n">
        <v>5342</v>
      </c>
      <c r="D442" s="65" t="n">
        <v>23372</v>
      </c>
      <c r="E442" s="65" t="n">
        <v>374</v>
      </c>
      <c r="F442" s="65" t="n">
        <v>89</v>
      </c>
    </row>
    <row r="443">
      <c r="A443" s="64" t="n">
        <v>46089</v>
      </c>
      <c r="B443" s="65">
        <f>'⚙ Настройки'!$A$2</f>
        <v/>
      </c>
      <c r="C443" s="66" t="n">
        <v>2554</v>
      </c>
      <c r="D443" s="65" t="n">
        <v>13611</v>
      </c>
      <c r="E443" s="65" t="n">
        <v>242</v>
      </c>
      <c r="F443" s="65" t="n">
        <v>91</v>
      </c>
    </row>
    <row r="444">
      <c r="A444" s="64" t="n">
        <v>46089</v>
      </c>
      <c r="B444" s="65">
        <f>'⚙ Настройки'!$A$3</f>
        <v/>
      </c>
      <c r="C444" s="66" t="n">
        <v>4474</v>
      </c>
      <c r="D444" s="65" t="n">
        <v>23025</v>
      </c>
      <c r="E444" s="65" t="n">
        <v>425</v>
      </c>
      <c r="F444" s="65" t="n">
        <v>90</v>
      </c>
    </row>
    <row r="445">
      <c r="A445" s="64" t="n">
        <v>46089</v>
      </c>
      <c r="B445" s="65">
        <f>'⚙ Настройки'!$A$4</f>
        <v/>
      </c>
      <c r="C445" s="66" t="n">
        <v>4380</v>
      </c>
      <c r="D445" s="65" t="n">
        <v>20548</v>
      </c>
      <c r="E445" s="65" t="n">
        <v>429</v>
      </c>
      <c r="F445" s="65" t="n">
        <v>63</v>
      </c>
    </row>
    <row r="446">
      <c r="A446" s="64" t="n">
        <v>46090</v>
      </c>
      <c r="B446" s="65">
        <f>'⚙ Настройки'!$A$2</f>
        <v/>
      </c>
      <c r="C446" s="66" t="n">
        <v>2706</v>
      </c>
      <c r="D446" s="65" t="n">
        <v>12062</v>
      </c>
      <c r="E446" s="65" t="n">
        <v>263</v>
      </c>
      <c r="F446" s="65" t="n">
        <v>105</v>
      </c>
    </row>
    <row r="447">
      <c r="A447" s="64" t="n">
        <v>46090</v>
      </c>
      <c r="B447" s="65">
        <f>'⚙ Настройки'!$A$3</f>
        <v/>
      </c>
      <c r="C447" s="66" t="n">
        <v>4836</v>
      </c>
      <c r="D447" s="65" t="n">
        <v>20213</v>
      </c>
      <c r="E447" s="65" t="n">
        <v>331</v>
      </c>
      <c r="F447" s="65" t="n">
        <v>79</v>
      </c>
    </row>
    <row r="448">
      <c r="A448" s="64" t="n">
        <v>46090</v>
      </c>
      <c r="B448" s="65">
        <f>'⚙ Настройки'!$A$4</f>
        <v/>
      </c>
      <c r="C448" s="66" t="n">
        <v>7344</v>
      </c>
      <c r="D448" s="65" t="n">
        <v>31156</v>
      </c>
      <c r="E448" s="65" t="n">
        <v>659</v>
      </c>
      <c r="F448" s="65" t="n">
        <v>95</v>
      </c>
    </row>
    <row r="449">
      <c r="A449" s="64" t="n">
        <v>46091</v>
      </c>
      <c r="B449" s="65">
        <f>'⚙ Настройки'!$A$2</f>
        <v/>
      </c>
      <c r="C449" s="66" t="n">
        <v>3249</v>
      </c>
      <c r="D449" s="65" t="n">
        <v>16405</v>
      </c>
      <c r="E449" s="65" t="n">
        <v>303</v>
      </c>
      <c r="F449" s="65" t="n">
        <v>111</v>
      </c>
    </row>
    <row r="450">
      <c r="A450" s="64" t="n">
        <v>46091</v>
      </c>
      <c r="B450" s="65">
        <f>'⚙ Настройки'!$A$3</f>
        <v/>
      </c>
      <c r="C450" s="66" t="n">
        <v>4499</v>
      </c>
      <c r="D450" s="65" t="n">
        <v>24450</v>
      </c>
      <c r="E450" s="65" t="n">
        <v>513</v>
      </c>
      <c r="F450" s="65" t="n">
        <v>94</v>
      </c>
    </row>
    <row r="451">
      <c r="A451" s="64" t="n">
        <v>46091</v>
      </c>
      <c r="B451" s="65">
        <f>'⚙ Настройки'!$A$4</f>
        <v/>
      </c>
      <c r="C451" s="66" t="n">
        <v>6174</v>
      </c>
      <c r="D451" s="65" t="n">
        <v>28394</v>
      </c>
      <c r="E451" s="65" t="n">
        <v>498</v>
      </c>
      <c r="F451" s="65" t="n">
        <v>66</v>
      </c>
    </row>
    <row r="452">
      <c r="A452" s="64" t="n">
        <v>46092</v>
      </c>
      <c r="B452" s="65">
        <f>'⚙ Настройки'!$A$2</f>
        <v/>
      </c>
      <c r="C452" s="66" t="n">
        <v>2515</v>
      </c>
      <c r="D452" s="65" t="n">
        <v>13258</v>
      </c>
      <c r="E452" s="65" t="n">
        <v>208</v>
      </c>
      <c r="F452" s="65" t="n">
        <v>60</v>
      </c>
    </row>
    <row r="453">
      <c r="A453" s="64" t="n">
        <v>46092</v>
      </c>
      <c r="B453" s="65">
        <f>'⚙ Настройки'!$A$3</f>
        <v/>
      </c>
      <c r="C453" s="66" t="n">
        <v>4242</v>
      </c>
      <c r="D453" s="65" t="n">
        <v>20868</v>
      </c>
      <c r="E453" s="65" t="n">
        <v>366</v>
      </c>
      <c r="F453" s="65" t="n">
        <v>71</v>
      </c>
    </row>
    <row r="454">
      <c r="A454" s="64" t="n">
        <v>46092</v>
      </c>
      <c r="B454" s="65">
        <f>'⚙ Настройки'!$A$4</f>
        <v/>
      </c>
      <c r="C454" s="66" t="n">
        <v>7303</v>
      </c>
      <c r="D454" s="65" t="n">
        <v>33245</v>
      </c>
      <c r="E454" s="65" t="n">
        <v>633</v>
      </c>
      <c r="F454" s="65" t="n">
        <v>119</v>
      </c>
    </row>
    <row r="455">
      <c r="A455" s="64" t="n">
        <v>46093</v>
      </c>
      <c r="B455" s="65">
        <f>'⚙ Настройки'!$A$2</f>
        <v/>
      </c>
      <c r="C455" s="66" t="n">
        <v>3016</v>
      </c>
      <c r="D455" s="65" t="n">
        <v>15611</v>
      </c>
      <c r="E455" s="65" t="n">
        <v>332</v>
      </c>
      <c r="F455" s="65" t="n">
        <v>68</v>
      </c>
    </row>
    <row r="456">
      <c r="A456" s="64" t="n">
        <v>46093</v>
      </c>
      <c r="B456" s="65">
        <f>'⚙ Настройки'!$A$3</f>
        <v/>
      </c>
      <c r="C456" s="66" t="n">
        <v>4375</v>
      </c>
      <c r="D456" s="65" t="n">
        <v>22609</v>
      </c>
      <c r="E456" s="65" t="n">
        <v>490</v>
      </c>
      <c r="F456" s="65" t="n">
        <v>73</v>
      </c>
    </row>
    <row r="457">
      <c r="A457" s="64" t="n">
        <v>46093</v>
      </c>
      <c r="B457" s="65">
        <f>'⚙ Настройки'!$A$4</f>
        <v/>
      </c>
      <c r="C457" s="66" t="n">
        <v>7941</v>
      </c>
      <c r="D457" s="65" t="n">
        <v>35998</v>
      </c>
      <c r="E457" s="65" t="n">
        <v>765</v>
      </c>
      <c r="F457" s="65" t="n">
        <v>117</v>
      </c>
    </row>
    <row r="458">
      <c r="A458" s="64" t="n">
        <v>46094</v>
      </c>
      <c r="B458" s="65">
        <f>'⚙ Настройки'!$A$2</f>
        <v/>
      </c>
      <c r="C458" s="66" t="n">
        <v>2948</v>
      </c>
      <c r="D458" s="65" t="n">
        <v>15650</v>
      </c>
      <c r="E458" s="65" t="n">
        <v>243</v>
      </c>
      <c r="F458" s="65" t="n">
        <v>138</v>
      </c>
    </row>
    <row r="459">
      <c r="A459" s="64" t="n">
        <v>46094</v>
      </c>
      <c r="B459" s="65">
        <f>'⚙ Настройки'!$A$3</f>
        <v/>
      </c>
      <c r="C459" s="66" t="n">
        <v>4503</v>
      </c>
      <c r="D459" s="65" t="n">
        <v>22490</v>
      </c>
      <c r="E459" s="65" t="n">
        <v>378</v>
      </c>
      <c r="F459" s="65" t="n">
        <v>79</v>
      </c>
    </row>
    <row r="460">
      <c r="A460" s="64" t="n">
        <v>46094</v>
      </c>
      <c r="B460" s="65">
        <f>'⚙ Настройки'!$A$4</f>
        <v/>
      </c>
      <c r="C460" s="66" t="n">
        <v>7327</v>
      </c>
      <c r="D460" s="65" t="n">
        <v>30712</v>
      </c>
      <c r="E460" s="65" t="n">
        <v>444</v>
      </c>
      <c r="F460" s="65" t="n">
        <v>85</v>
      </c>
    </row>
    <row r="461">
      <c r="A461" s="64" t="n">
        <v>46095</v>
      </c>
      <c r="B461" s="65">
        <f>'⚙ Настройки'!$A$2</f>
        <v/>
      </c>
      <c r="C461" s="66" t="n">
        <v>1952</v>
      </c>
      <c r="D461" s="65" t="n">
        <v>10525</v>
      </c>
      <c r="E461" s="65" t="n">
        <v>167</v>
      </c>
      <c r="F461" s="65" t="n">
        <v>76</v>
      </c>
    </row>
    <row r="462">
      <c r="A462" s="64" t="n">
        <v>46095</v>
      </c>
      <c r="B462" s="65">
        <f>'⚙ Настройки'!$A$3</f>
        <v/>
      </c>
      <c r="C462" s="66" t="n">
        <v>4036</v>
      </c>
      <c r="D462" s="65" t="n">
        <v>17472</v>
      </c>
      <c r="E462" s="65" t="n">
        <v>359</v>
      </c>
      <c r="F462" s="65" t="n">
        <v>80</v>
      </c>
    </row>
    <row r="463">
      <c r="A463" s="64" t="n">
        <v>46095</v>
      </c>
      <c r="B463" s="65">
        <f>'⚙ Настройки'!$A$4</f>
        <v/>
      </c>
      <c r="C463" s="66" t="n">
        <v>6015</v>
      </c>
      <c r="D463" s="65" t="n">
        <v>28181</v>
      </c>
      <c r="E463" s="65" t="n">
        <v>495</v>
      </c>
      <c r="F463" s="65" t="n">
        <v>73</v>
      </c>
    </row>
    <row r="464">
      <c r="A464" s="64" t="n">
        <v>46096</v>
      </c>
      <c r="B464" s="65">
        <f>'⚙ Настройки'!$A$2</f>
        <v/>
      </c>
      <c r="C464" s="66" t="n">
        <v>2195</v>
      </c>
      <c r="D464" s="65" t="n">
        <v>9411</v>
      </c>
      <c r="E464" s="65" t="n">
        <v>188</v>
      </c>
      <c r="F464" s="65" t="n">
        <v>74</v>
      </c>
    </row>
    <row r="465">
      <c r="A465" s="64" t="n">
        <v>46096</v>
      </c>
      <c r="B465" s="65">
        <f>'⚙ Настройки'!$A$3</f>
        <v/>
      </c>
      <c r="C465" s="66" t="n">
        <v>4275</v>
      </c>
      <c r="D465" s="65" t="n">
        <v>19034</v>
      </c>
      <c r="E465" s="65" t="n">
        <v>382</v>
      </c>
      <c r="F465" s="65" t="n">
        <v>87</v>
      </c>
    </row>
    <row r="466">
      <c r="A466" s="64" t="n">
        <v>46096</v>
      </c>
      <c r="B466" s="65">
        <f>'⚙ Настройки'!$A$4</f>
        <v/>
      </c>
      <c r="C466" s="66" t="n">
        <v>6595</v>
      </c>
      <c r="D466" s="65" t="n">
        <v>29477</v>
      </c>
      <c r="E466" s="65" t="n">
        <v>589</v>
      </c>
      <c r="F466" s="65" t="n">
        <v>154</v>
      </c>
    </row>
    <row r="467">
      <c r="A467" s="64" t="n">
        <v>46097</v>
      </c>
      <c r="B467" s="65">
        <f>'⚙ Настройки'!$A$2</f>
        <v/>
      </c>
      <c r="C467" s="66" t="n">
        <v>2904</v>
      </c>
      <c r="D467" s="65" t="n">
        <v>13734</v>
      </c>
      <c r="E467" s="65" t="n">
        <v>234</v>
      </c>
      <c r="F467" s="65" t="n">
        <v>105</v>
      </c>
    </row>
    <row r="468">
      <c r="A468" s="64" t="n">
        <v>46097</v>
      </c>
      <c r="B468" s="65">
        <f>'⚙ Настройки'!$A$3</f>
        <v/>
      </c>
      <c r="C468" s="66" t="n">
        <v>6240</v>
      </c>
      <c r="D468" s="65" t="n">
        <v>28043</v>
      </c>
      <c r="E468" s="65" t="n">
        <v>598</v>
      </c>
      <c r="F468" s="65" t="n">
        <v>178</v>
      </c>
    </row>
    <row r="469">
      <c r="A469" s="64" t="n">
        <v>46097</v>
      </c>
      <c r="B469" s="65">
        <f>'⚙ Настройки'!$A$4</f>
        <v/>
      </c>
      <c r="C469" s="66" t="n">
        <v>7200</v>
      </c>
      <c r="D469" s="65" t="n">
        <v>38253</v>
      </c>
      <c r="E469" s="65" t="n">
        <v>827</v>
      </c>
      <c r="F469" s="65" t="n">
        <v>81</v>
      </c>
    </row>
    <row r="470">
      <c r="A470" s="64" t="n">
        <v>46098</v>
      </c>
      <c r="B470" s="65">
        <f>'⚙ Настройки'!$A$2</f>
        <v/>
      </c>
      <c r="C470" s="66" t="n">
        <v>2373</v>
      </c>
      <c r="D470" s="65" t="n">
        <v>12067</v>
      </c>
      <c r="E470" s="65" t="n">
        <v>262</v>
      </c>
      <c r="F470" s="65" t="n">
        <v>107</v>
      </c>
    </row>
    <row r="471">
      <c r="A471" s="64" t="n">
        <v>46098</v>
      </c>
      <c r="B471" s="65">
        <f>'⚙ Настройки'!$A$3</f>
        <v/>
      </c>
      <c r="C471" s="66" t="n">
        <v>6482</v>
      </c>
      <c r="D471" s="65" t="n">
        <v>35959</v>
      </c>
      <c r="E471" s="65" t="n">
        <v>724</v>
      </c>
      <c r="F471" s="65" t="n">
        <v>122</v>
      </c>
    </row>
    <row r="472">
      <c r="A472" s="64" t="n">
        <v>46098</v>
      </c>
      <c r="B472" s="65">
        <f>'⚙ Настройки'!$A$4</f>
        <v/>
      </c>
      <c r="C472" s="66" t="n">
        <v>6494</v>
      </c>
      <c r="D472" s="65" t="n">
        <v>30169</v>
      </c>
      <c r="E472" s="65" t="n">
        <v>562</v>
      </c>
      <c r="F472" s="65" t="n">
        <v>150</v>
      </c>
    </row>
    <row r="473">
      <c r="A473" s="64" t="n">
        <v>46099</v>
      </c>
      <c r="B473" s="65">
        <f>'⚙ Настройки'!$A$2</f>
        <v/>
      </c>
      <c r="C473" s="66" t="n">
        <v>3046</v>
      </c>
      <c r="D473" s="65" t="n">
        <v>13987</v>
      </c>
      <c r="E473" s="65" t="n">
        <v>292</v>
      </c>
      <c r="F473" s="65" t="n">
        <v>124</v>
      </c>
    </row>
    <row r="474">
      <c r="A474" s="64" t="n">
        <v>46099</v>
      </c>
      <c r="B474" s="65">
        <f>'⚙ Настройки'!$A$3</f>
        <v/>
      </c>
      <c r="C474" s="66" t="n">
        <v>5468</v>
      </c>
      <c r="D474" s="65" t="n">
        <v>22998</v>
      </c>
      <c r="E474" s="65" t="n">
        <v>427</v>
      </c>
      <c r="F474" s="65" t="n">
        <v>117</v>
      </c>
    </row>
    <row r="475">
      <c r="A475" s="64" t="n">
        <v>46099</v>
      </c>
      <c r="B475" s="65">
        <f>'⚙ Настройки'!$A$4</f>
        <v/>
      </c>
      <c r="C475" s="66" t="n">
        <v>7481</v>
      </c>
      <c r="D475" s="65" t="n">
        <v>33272</v>
      </c>
      <c r="E475" s="65" t="n">
        <v>637</v>
      </c>
      <c r="F475" s="65" t="n">
        <v>133</v>
      </c>
    </row>
    <row r="476">
      <c r="A476" s="64" t="n">
        <v>46100</v>
      </c>
      <c r="B476" s="65">
        <f>'⚙ Настройки'!$A$2</f>
        <v/>
      </c>
      <c r="C476" s="66" t="n">
        <v>2696</v>
      </c>
      <c r="D476" s="65" t="n">
        <v>13832</v>
      </c>
      <c r="E476" s="65" t="n">
        <v>238</v>
      </c>
      <c r="F476" s="65" t="n">
        <v>89</v>
      </c>
    </row>
    <row r="477">
      <c r="A477" s="64" t="n">
        <v>46100</v>
      </c>
      <c r="B477" s="65">
        <f>'⚙ Настройки'!$A$3</f>
        <v/>
      </c>
      <c r="C477" s="66" t="n">
        <v>6257</v>
      </c>
      <c r="D477" s="65" t="n">
        <v>26927</v>
      </c>
      <c r="E477" s="65" t="n">
        <v>508</v>
      </c>
      <c r="F477" s="65" t="n">
        <v>139</v>
      </c>
    </row>
    <row r="478">
      <c r="A478" s="64" t="n">
        <v>46100</v>
      </c>
      <c r="B478" s="65">
        <f>'⚙ Настройки'!$A$4</f>
        <v/>
      </c>
      <c r="C478" s="66" t="n">
        <v>8955</v>
      </c>
      <c r="D478" s="65" t="n">
        <v>45349</v>
      </c>
      <c r="E478" s="65" t="n">
        <v>832</v>
      </c>
      <c r="F478" s="65" t="n">
        <v>141</v>
      </c>
    </row>
    <row r="479">
      <c r="A479" s="64" t="n">
        <v>46101</v>
      </c>
      <c r="B479" s="65">
        <f>'⚙ Настройки'!$A$2</f>
        <v/>
      </c>
      <c r="C479" s="66" t="n">
        <v>3740</v>
      </c>
      <c r="D479" s="65" t="n">
        <v>16196</v>
      </c>
      <c r="E479" s="65" t="n">
        <v>340</v>
      </c>
      <c r="F479" s="65" t="n">
        <v>191</v>
      </c>
    </row>
    <row r="480">
      <c r="A480" s="64" t="n">
        <v>46101</v>
      </c>
      <c r="B480" s="65">
        <f>'⚙ Настройки'!$A$3</f>
        <v/>
      </c>
      <c r="C480" s="66" t="n">
        <v>5355</v>
      </c>
      <c r="D480" s="65" t="n">
        <v>25810</v>
      </c>
      <c r="E480" s="65" t="n">
        <v>511</v>
      </c>
      <c r="F480" s="65" t="n">
        <v>129</v>
      </c>
    </row>
    <row r="481">
      <c r="A481" s="64" t="n">
        <v>46101</v>
      </c>
      <c r="B481" s="65">
        <f>'⚙ Настройки'!$A$4</f>
        <v/>
      </c>
      <c r="C481" s="66" t="n">
        <v>9819</v>
      </c>
      <c r="D481" s="65" t="n">
        <v>44850</v>
      </c>
      <c r="E481" s="65" t="n">
        <v>917</v>
      </c>
      <c r="F481" s="65" t="n">
        <v>127</v>
      </c>
    </row>
    <row r="482">
      <c r="A482" s="64" t="n">
        <v>46102</v>
      </c>
      <c r="B482" s="65">
        <f>'⚙ Настройки'!$A$2</f>
        <v/>
      </c>
      <c r="C482" s="66" t="n">
        <v>1636</v>
      </c>
      <c r="D482" s="65" t="n">
        <v>7350</v>
      </c>
      <c r="E482" s="65" t="n">
        <v>156</v>
      </c>
      <c r="F482" s="65" t="n">
        <v>53</v>
      </c>
    </row>
    <row r="483">
      <c r="A483" s="64" t="n">
        <v>46102</v>
      </c>
      <c r="B483" s="65">
        <f>'⚙ Настройки'!$A$3</f>
        <v/>
      </c>
      <c r="C483" s="66" t="n">
        <v>3635</v>
      </c>
      <c r="D483" s="65" t="n">
        <v>17040</v>
      </c>
      <c r="E483" s="65" t="n">
        <v>291</v>
      </c>
      <c r="F483" s="65" t="n">
        <v>85</v>
      </c>
    </row>
    <row r="484">
      <c r="A484" s="64" t="n">
        <v>46102</v>
      </c>
      <c r="B484" s="65">
        <f>'⚙ Настройки'!$A$4</f>
        <v/>
      </c>
      <c r="C484" s="66" t="n">
        <v>5222</v>
      </c>
      <c r="D484" s="65" t="n">
        <v>21961</v>
      </c>
      <c r="E484" s="65" t="n">
        <v>432</v>
      </c>
      <c r="F484" s="65" t="n">
        <v>67</v>
      </c>
    </row>
    <row r="485">
      <c r="A485" s="64" t="n">
        <v>46103</v>
      </c>
      <c r="B485" s="65">
        <f>'⚙ Настройки'!$A$2</f>
        <v/>
      </c>
      <c r="C485" s="66" t="n">
        <v>2232</v>
      </c>
      <c r="D485" s="65" t="n">
        <v>12399</v>
      </c>
      <c r="E485" s="65" t="n">
        <v>212</v>
      </c>
      <c r="F485" s="65" t="n">
        <v>53</v>
      </c>
    </row>
    <row r="486">
      <c r="A486" s="64" t="n">
        <v>46103</v>
      </c>
      <c r="B486" s="65">
        <f>'⚙ Настройки'!$A$3</f>
        <v/>
      </c>
      <c r="C486" s="66" t="n">
        <v>4402</v>
      </c>
      <c r="D486" s="65" t="n">
        <v>19058</v>
      </c>
      <c r="E486" s="65" t="n">
        <v>343</v>
      </c>
      <c r="F486" s="65" t="n">
        <v>93</v>
      </c>
    </row>
    <row r="487">
      <c r="A487" s="64" t="n">
        <v>46103</v>
      </c>
      <c r="B487" s="65">
        <f>'⚙ Настройки'!$A$4</f>
        <v/>
      </c>
      <c r="C487" s="66" t="n">
        <v>4941</v>
      </c>
      <c r="D487" s="65" t="n">
        <v>26045</v>
      </c>
      <c r="E487" s="65" t="n">
        <v>484</v>
      </c>
      <c r="F487" s="65" t="n">
        <v>58</v>
      </c>
    </row>
    <row r="488">
      <c r="A488" s="64" t="n">
        <v>46104</v>
      </c>
      <c r="B488" s="65">
        <f>'⚙ Настройки'!$A$2</f>
        <v/>
      </c>
      <c r="C488" s="66" t="n">
        <v>3556</v>
      </c>
      <c r="D488" s="65" t="n">
        <v>15372</v>
      </c>
      <c r="E488" s="65" t="n">
        <v>335</v>
      </c>
      <c r="F488" s="65" t="n">
        <v>141</v>
      </c>
    </row>
    <row r="489">
      <c r="A489" s="64" t="n">
        <v>46104</v>
      </c>
      <c r="B489" s="65">
        <f>'⚙ Настройки'!$A$3</f>
        <v/>
      </c>
      <c r="C489" s="66" t="n">
        <v>4636</v>
      </c>
      <c r="D489" s="65" t="n">
        <v>23386</v>
      </c>
      <c r="E489" s="65" t="n">
        <v>355</v>
      </c>
      <c r="F489" s="65" t="n">
        <v>88</v>
      </c>
    </row>
    <row r="490">
      <c r="A490" s="64" t="n">
        <v>46104</v>
      </c>
      <c r="B490" s="65">
        <f>'⚙ Настройки'!$A$4</f>
        <v/>
      </c>
      <c r="C490" s="66" t="n">
        <v>9119</v>
      </c>
      <c r="D490" s="65" t="n">
        <v>45405</v>
      </c>
      <c r="E490" s="65" t="n">
        <v>686</v>
      </c>
      <c r="F490" s="65" t="n">
        <v>133</v>
      </c>
    </row>
    <row r="491">
      <c r="A491" s="64" t="n">
        <v>46105</v>
      </c>
      <c r="B491" s="65">
        <f>'⚙ Настройки'!$A$2</f>
        <v/>
      </c>
      <c r="C491" s="66" t="n">
        <v>2463</v>
      </c>
      <c r="D491" s="65" t="n">
        <v>13014</v>
      </c>
      <c r="E491" s="65" t="n">
        <v>237</v>
      </c>
      <c r="F491" s="65" t="n">
        <v>68</v>
      </c>
    </row>
    <row r="492">
      <c r="A492" s="64" t="n">
        <v>46105</v>
      </c>
      <c r="B492" s="65">
        <f>'⚙ Настройки'!$A$3</f>
        <v/>
      </c>
      <c r="C492" s="66" t="n">
        <v>5736</v>
      </c>
      <c r="D492" s="65" t="n">
        <v>30959</v>
      </c>
      <c r="E492" s="65" t="n">
        <v>661</v>
      </c>
      <c r="F492" s="65" t="n">
        <v>134</v>
      </c>
    </row>
    <row r="493">
      <c r="A493" s="64" t="n">
        <v>46105</v>
      </c>
      <c r="B493" s="65">
        <f>'⚙ Настройки'!$A$4</f>
        <v/>
      </c>
      <c r="C493" s="66" t="n">
        <v>9462</v>
      </c>
      <c r="D493" s="65" t="n">
        <v>49871</v>
      </c>
      <c r="E493" s="65" t="n">
        <v>993</v>
      </c>
      <c r="F493" s="65" t="n">
        <v>190</v>
      </c>
    </row>
    <row r="494">
      <c r="A494" s="64" t="n">
        <v>46106</v>
      </c>
      <c r="B494" s="65">
        <f>'⚙ Настройки'!$A$2</f>
        <v/>
      </c>
      <c r="C494" s="66" t="n">
        <v>3742</v>
      </c>
      <c r="D494" s="65" t="n">
        <v>16757</v>
      </c>
      <c r="E494" s="65" t="n">
        <v>321</v>
      </c>
      <c r="F494" s="65" t="n">
        <v>98</v>
      </c>
    </row>
    <row r="495">
      <c r="A495" s="64" t="n">
        <v>46106</v>
      </c>
      <c r="B495" s="65">
        <f>'⚙ Настройки'!$A$3</f>
        <v/>
      </c>
      <c r="C495" s="66" t="n">
        <v>6464</v>
      </c>
      <c r="D495" s="65" t="n">
        <v>28069</v>
      </c>
      <c r="E495" s="65" t="n">
        <v>608</v>
      </c>
      <c r="F495" s="65" t="n">
        <v>170</v>
      </c>
    </row>
    <row r="496">
      <c r="A496" s="64" t="n">
        <v>46106</v>
      </c>
      <c r="B496" s="65">
        <f>'⚙ Настройки'!$A$4</f>
        <v/>
      </c>
      <c r="C496" s="66" t="n">
        <v>7220</v>
      </c>
      <c r="D496" s="65" t="n">
        <v>39408</v>
      </c>
      <c r="E496" s="65" t="n">
        <v>646</v>
      </c>
      <c r="F496" s="65" t="n">
        <v>118</v>
      </c>
    </row>
    <row r="497">
      <c r="A497" s="64" t="n">
        <v>46107</v>
      </c>
      <c r="B497" s="65">
        <f>'⚙ Настройки'!$A$2</f>
        <v/>
      </c>
      <c r="C497" s="66" t="n">
        <v>3003</v>
      </c>
      <c r="D497" s="65" t="n">
        <v>14093</v>
      </c>
      <c r="E497" s="65" t="n">
        <v>202</v>
      </c>
      <c r="F497" s="65" t="n">
        <v>78</v>
      </c>
    </row>
    <row r="498">
      <c r="A498" s="64" t="n">
        <v>46107</v>
      </c>
      <c r="B498" s="65">
        <f>'⚙ Настройки'!$A$3</f>
        <v/>
      </c>
      <c r="C498" s="66" t="n">
        <v>5320</v>
      </c>
      <c r="D498" s="65" t="n">
        <v>22674</v>
      </c>
      <c r="E498" s="65" t="n">
        <v>319</v>
      </c>
      <c r="F498" s="65" t="n">
        <v>168</v>
      </c>
    </row>
    <row r="499">
      <c r="A499" s="64" t="n">
        <v>46107</v>
      </c>
      <c r="B499" s="65">
        <f>'⚙ Настройки'!$A$4</f>
        <v/>
      </c>
      <c r="C499" s="66" t="n">
        <v>9841</v>
      </c>
      <c r="D499" s="65" t="n">
        <v>41396</v>
      </c>
      <c r="E499" s="65" t="n">
        <v>642</v>
      </c>
      <c r="F499" s="65" t="n">
        <v>172</v>
      </c>
    </row>
    <row r="500">
      <c r="A500" s="64" t="n">
        <v>46108</v>
      </c>
      <c r="B500" s="65">
        <f>'⚙ Настройки'!$A$2</f>
        <v/>
      </c>
      <c r="C500" s="66" t="n">
        <v>2661</v>
      </c>
      <c r="D500" s="65" t="n">
        <v>11314</v>
      </c>
      <c r="E500" s="65" t="n">
        <v>217</v>
      </c>
      <c r="F500" s="65" t="n">
        <v>100</v>
      </c>
    </row>
    <row r="501">
      <c r="A501" s="64" t="n">
        <v>46108</v>
      </c>
      <c r="B501" s="65">
        <f>'⚙ Настройки'!$A$3</f>
        <v/>
      </c>
      <c r="C501" s="66" t="n">
        <v>5709</v>
      </c>
      <c r="D501" s="65" t="n">
        <v>27206</v>
      </c>
      <c r="E501" s="65" t="n">
        <v>581</v>
      </c>
      <c r="F501" s="65" t="n">
        <v>94</v>
      </c>
    </row>
    <row r="502">
      <c r="A502" s="64" t="n">
        <v>46108</v>
      </c>
      <c r="B502" s="65">
        <f>'⚙ Настройки'!$A$4</f>
        <v/>
      </c>
      <c r="C502" s="66" t="n">
        <v>9759</v>
      </c>
      <c r="D502" s="65" t="n">
        <v>50870</v>
      </c>
      <c r="E502" s="65" t="n">
        <v>843</v>
      </c>
      <c r="F502" s="65" t="n">
        <v>152</v>
      </c>
    </row>
    <row r="503">
      <c r="A503" s="64" t="n">
        <v>46109</v>
      </c>
      <c r="B503" s="65">
        <f>'⚙ Настройки'!$A$2</f>
        <v/>
      </c>
      <c r="C503" s="66" t="n">
        <v>1752</v>
      </c>
      <c r="D503" s="65" t="n">
        <v>8980</v>
      </c>
      <c r="E503" s="65" t="n">
        <v>171</v>
      </c>
      <c r="F503" s="65" t="n">
        <v>48</v>
      </c>
    </row>
    <row r="504">
      <c r="A504" s="64" t="n">
        <v>46109</v>
      </c>
      <c r="B504" s="65">
        <f>'⚙ Настройки'!$A$3</f>
        <v/>
      </c>
      <c r="C504" s="66" t="n">
        <v>3950</v>
      </c>
      <c r="D504" s="65" t="n">
        <v>16465</v>
      </c>
      <c r="E504" s="65" t="n">
        <v>299</v>
      </c>
      <c r="F504" s="65" t="n">
        <v>79</v>
      </c>
    </row>
    <row r="505">
      <c r="A505" s="64" t="n">
        <v>46109</v>
      </c>
      <c r="B505" s="65">
        <f>'⚙ Настройки'!$A$4</f>
        <v/>
      </c>
      <c r="C505" s="66" t="n">
        <v>4501</v>
      </c>
      <c r="D505" s="65" t="n">
        <v>23010</v>
      </c>
      <c r="E505" s="65" t="n">
        <v>395</v>
      </c>
      <c r="F505" s="65" t="n">
        <v>73</v>
      </c>
    </row>
    <row r="506">
      <c r="A506" s="64" t="n">
        <v>46110</v>
      </c>
      <c r="B506" s="65">
        <f>'⚙ Настройки'!$A$2</f>
        <v/>
      </c>
      <c r="C506" s="66" t="n">
        <v>1737</v>
      </c>
      <c r="D506" s="65" t="n">
        <v>9429</v>
      </c>
      <c r="E506" s="65" t="n">
        <v>172</v>
      </c>
      <c r="F506" s="65" t="n">
        <v>52</v>
      </c>
    </row>
    <row r="507">
      <c r="A507" s="64" t="n">
        <v>46110</v>
      </c>
      <c r="B507" s="65">
        <f>'⚙ Настройки'!$A$3</f>
        <v/>
      </c>
      <c r="C507" s="66" t="n">
        <v>4239</v>
      </c>
      <c r="D507" s="65" t="n">
        <v>20844</v>
      </c>
      <c r="E507" s="65" t="n">
        <v>351</v>
      </c>
      <c r="F507" s="65" t="n">
        <v>80</v>
      </c>
    </row>
    <row r="508">
      <c r="A508" s="64" t="n">
        <v>46110</v>
      </c>
      <c r="B508" s="65">
        <f>'⚙ Настройки'!$A$4</f>
        <v/>
      </c>
      <c r="C508" s="66" t="n">
        <v>6902</v>
      </c>
      <c r="D508" s="65" t="n">
        <v>35212</v>
      </c>
      <c r="E508" s="65" t="n">
        <v>550</v>
      </c>
      <c r="F508" s="65" t="n">
        <v>77</v>
      </c>
    </row>
    <row r="509">
      <c r="A509" s="64" t="n">
        <v>46111</v>
      </c>
      <c r="B509" s="65">
        <f>'⚙ Настройки'!$A$2</f>
        <v/>
      </c>
      <c r="C509" s="66" t="n">
        <v>2910</v>
      </c>
      <c r="D509" s="65" t="n">
        <v>15045</v>
      </c>
      <c r="E509" s="65" t="n">
        <v>283</v>
      </c>
      <c r="F509" s="65" t="n">
        <v>152</v>
      </c>
    </row>
    <row r="510">
      <c r="A510" s="64" t="n">
        <v>46111</v>
      </c>
      <c r="B510" s="65">
        <f>'⚙ Настройки'!$A$3</f>
        <v/>
      </c>
      <c r="C510" s="66" t="n">
        <v>5135</v>
      </c>
      <c r="D510" s="65" t="n">
        <v>21678</v>
      </c>
      <c r="E510" s="65" t="n">
        <v>421</v>
      </c>
      <c r="F510" s="65" t="n">
        <v>102</v>
      </c>
    </row>
    <row r="511">
      <c r="A511" s="64" t="n">
        <v>46111</v>
      </c>
      <c r="B511" s="65">
        <f>'⚙ Настройки'!$A$4</f>
        <v/>
      </c>
      <c r="C511" s="66" t="n">
        <v>7814</v>
      </c>
      <c r="D511" s="65" t="n">
        <v>33940</v>
      </c>
      <c r="E511" s="65" t="n">
        <v>648</v>
      </c>
      <c r="F511" s="65" t="n">
        <v>95</v>
      </c>
    </row>
    <row r="512">
      <c r="A512" s="64" t="n">
        <v>46112</v>
      </c>
      <c r="B512" s="65">
        <f>'⚙ Настройки'!$A$2</f>
        <v/>
      </c>
      <c r="C512" s="66" t="n">
        <v>2779</v>
      </c>
      <c r="D512" s="65" t="n">
        <v>13384</v>
      </c>
      <c r="E512" s="65" t="n">
        <v>290</v>
      </c>
      <c r="F512" s="65" t="n">
        <v>79</v>
      </c>
    </row>
    <row r="513">
      <c r="A513" s="64" t="n">
        <v>46112</v>
      </c>
      <c r="B513" s="65">
        <f>'⚙ Настройки'!$A$3</f>
        <v/>
      </c>
      <c r="C513" s="66" t="n">
        <v>4440</v>
      </c>
      <c r="D513" s="65" t="n">
        <v>21930</v>
      </c>
      <c r="E513" s="65" t="n">
        <v>377</v>
      </c>
      <c r="F513" s="65" t="n">
        <v>85</v>
      </c>
    </row>
    <row r="514">
      <c r="A514" s="64" t="n">
        <v>46112</v>
      </c>
      <c r="B514" s="65">
        <f>'⚙ Настройки'!$A$4</f>
        <v/>
      </c>
      <c r="C514" s="66" t="n">
        <v>7280</v>
      </c>
      <c r="D514" s="65" t="n">
        <v>38493</v>
      </c>
      <c r="E514" s="65" t="n">
        <v>772</v>
      </c>
      <c r="F514" s="65" t="n">
        <v>110</v>
      </c>
    </row>
    <row r="515">
      <c r="A515" s="64" t="n">
        <v>46113</v>
      </c>
      <c r="B515" s="65">
        <f>'⚙ Настройки'!$A$2</f>
        <v/>
      </c>
      <c r="C515" s="66" t="n">
        <v>3682</v>
      </c>
      <c r="D515" s="65" t="n">
        <v>17658</v>
      </c>
      <c r="E515" s="65" t="n">
        <v>280</v>
      </c>
      <c r="F515" s="65" t="n">
        <v>147</v>
      </c>
    </row>
    <row r="516">
      <c r="A516" s="64" t="n">
        <v>46113</v>
      </c>
      <c r="B516" s="65">
        <f>'⚙ Настройки'!$A$3</f>
        <v/>
      </c>
      <c r="C516" s="66" t="n">
        <v>5766</v>
      </c>
      <c r="D516" s="65" t="n">
        <v>24769</v>
      </c>
      <c r="E516" s="65" t="n">
        <v>538</v>
      </c>
      <c r="F516" s="65" t="n">
        <v>118</v>
      </c>
    </row>
    <row r="517">
      <c r="A517" s="64" t="n">
        <v>46113</v>
      </c>
      <c r="B517" s="65">
        <f>'⚙ Настройки'!$A$4</f>
        <v/>
      </c>
      <c r="C517" s="66" t="n">
        <v>8267</v>
      </c>
      <c r="D517" s="65" t="n">
        <v>37537</v>
      </c>
      <c r="E517" s="65" t="n">
        <v>752</v>
      </c>
      <c r="F517" s="65" t="n">
        <v>149</v>
      </c>
    </row>
    <row r="518">
      <c r="A518" s="64" t="n">
        <v>46114</v>
      </c>
      <c r="B518" s="65">
        <f>'⚙ Настройки'!$A$2</f>
        <v/>
      </c>
      <c r="C518" s="66" t="n">
        <v>3805</v>
      </c>
      <c r="D518" s="65" t="n">
        <v>17118</v>
      </c>
      <c r="E518" s="65" t="n">
        <v>282</v>
      </c>
      <c r="F518" s="65" t="n">
        <v>196</v>
      </c>
    </row>
    <row r="519">
      <c r="A519" s="64" t="n">
        <v>46114</v>
      </c>
      <c r="B519" s="65">
        <f>'⚙ Настройки'!$A$3</f>
        <v/>
      </c>
      <c r="C519" s="66" t="n">
        <v>5400</v>
      </c>
      <c r="D519" s="65" t="n">
        <v>24830</v>
      </c>
      <c r="E519" s="65" t="n">
        <v>545</v>
      </c>
      <c r="F519" s="65" t="n">
        <v>125</v>
      </c>
    </row>
    <row r="520">
      <c r="A520" s="64" t="n">
        <v>46114</v>
      </c>
      <c r="B520" s="65">
        <f>'⚙ Настройки'!$A$4</f>
        <v/>
      </c>
      <c r="C520" s="66" t="n">
        <v>7489</v>
      </c>
      <c r="D520" s="65" t="n">
        <v>31861</v>
      </c>
      <c r="E520" s="65" t="n">
        <v>581</v>
      </c>
      <c r="F520" s="65" t="n">
        <v>134</v>
      </c>
    </row>
    <row r="521">
      <c r="A521" s="64" t="n">
        <v>46115</v>
      </c>
      <c r="B521" s="65">
        <f>'⚙ Настройки'!$A$2</f>
        <v/>
      </c>
      <c r="C521" s="66" t="n">
        <v>3093</v>
      </c>
      <c r="D521" s="65" t="n">
        <v>14029</v>
      </c>
      <c r="E521" s="65" t="n">
        <v>244</v>
      </c>
      <c r="F521" s="65" t="n">
        <v>122</v>
      </c>
    </row>
    <row r="522">
      <c r="A522" s="64" t="n">
        <v>46115</v>
      </c>
      <c r="B522" s="65">
        <f>'⚙ Настройки'!$A$3</f>
        <v/>
      </c>
      <c r="C522" s="66" t="n">
        <v>5657</v>
      </c>
      <c r="D522" s="65" t="n">
        <v>24708</v>
      </c>
      <c r="E522" s="65" t="n">
        <v>380</v>
      </c>
      <c r="F522" s="65" t="n">
        <v>134</v>
      </c>
    </row>
    <row r="523">
      <c r="A523" s="64" t="n">
        <v>46115</v>
      </c>
      <c r="B523" s="65">
        <f>'⚙ Настройки'!$A$4</f>
        <v/>
      </c>
      <c r="C523" s="66" t="n">
        <v>8573</v>
      </c>
      <c r="D523" s="65" t="n">
        <v>43833</v>
      </c>
      <c r="E523" s="65" t="n">
        <v>884</v>
      </c>
      <c r="F523" s="65" t="n">
        <v>201</v>
      </c>
    </row>
    <row r="524">
      <c r="A524" s="64" t="n">
        <v>46116</v>
      </c>
      <c r="B524" s="65">
        <f>'⚙ Настройки'!$A$2</f>
        <v/>
      </c>
      <c r="C524" s="66" t="n">
        <v>2351</v>
      </c>
      <c r="D524" s="65" t="n">
        <v>9983</v>
      </c>
      <c r="E524" s="65" t="n">
        <v>158</v>
      </c>
      <c r="F524" s="65" t="n">
        <v>119</v>
      </c>
    </row>
    <row r="525">
      <c r="A525" s="64" t="n">
        <v>46116</v>
      </c>
      <c r="B525" s="65">
        <f>'⚙ Настройки'!$A$3</f>
        <v/>
      </c>
      <c r="C525" s="66" t="n">
        <v>4839</v>
      </c>
      <c r="D525" s="65" t="n">
        <v>21079</v>
      </c>
      <c r="E525" s="65" t="n">
        <v>382</v>
      </c>
      <c r="F525" s="65" t="n">
        <v>142</v>
      </c>
    </row>
    <row r="526">
      <c r="A526" s="64" t="n">
        <v>46116</v>
      </c>
      <c r="B526" s="65">
        <f>'⚙ Настройки'!$A$4</f>
        <v/>
      </c>
      <c r="C526" s="66" t="n">
        <v>6562</v>
      </c>
      <c r="D526" s="65" t="n">
        <v>30665</v>
      </c>
      <c r="E526" s="65" t="n">
        <v>516</v>
      </c>
      <c r="F526" s="65" t="n">
        <v>72</v>
      </c>
    </row>
    <row r="527">
      <c r="A527" s="64" t="n">
        <v>46117</v>
      </c>
      <c r="B527" s="65">
        <f>'⚙ Настройки'!$A$2</f>
        <v/>
      </c>
      <c r="C527" s="66" t="n">
        <v>1996</v>
      </c>
      <c r="D527" s="65" t="n">
        <v>9726</v>
      </c>
      <c r="E527" s="65" t="n">
        <v>189</v>
      </c>
      <c r="F527" s="65" t="n">
        <v>84</v>
      </c>
    </row>
    <row r="528">
      <c r="A528" s="64" t="n">
        <v>46117</v>
      </c>
      <c r="B528" s="65">
        <f>'⚙ Настройки'!$A$3</f>
        <v/>
      </c>
      <c r="C528" s="66" t="n">
        <v>4681</v>
      </c>
      <c r="D528" s="65" t="n">
        <v>21143</v>
      </c>
      <c r="E528" s="65" t="n">
        <v>435</v>
      </c>
      <c r="F528" s="65" t="n">
        <v>68</v>
      </c>
    </row>
    <row r="529">
      <c r="A529" s="64" t="n">
        <v>46117</v>
      </c>
      <c r="B529" s="65">
        <f>'⚙ Настройки'!$A$4</f>
        <v/>
      </c>
      <c r="C529" s="66" t="n">
        <v>4985</v>
      </c>
      <c r="D529" s="65" t="n">
        <v>25616</v>
      </c>
      <c r="E529" s="65" t="n">
        <v>373</v>
      </c>
      <c r="F529" s="65" t="n">
        <v>71</v>
      </c>
    </row>
    <row r="530">
      <c r="A530" s="64" t="n">
        <v>46118</v>
      </c>
      <c r="B530" s="65">
        <f>'⚙ Настройки'!$A$2</f>
        <v/>
      </c>
      <c r="C530" s="66" t="n">
        <v>3568</v>
      </c>
      <c r="D530" s="65" t="n">
        <v>15904</v>
      </c>
      <c r="E530" s="65" t="n">
        <v>287</v>
      </c>
      <c r="F530" s="65" t="n">
        <v>149</v>
      </c>
    </row>
    <row r="531">
      <c r="A531" s="64" t="n">
        <v>46118</v>
      </c>
      <c r="B531" s="65">
        <f>'⚙ Настройки'!$A$3</f>
        <v/>
      </c>
      <c r="C531" s="66" t="n">
        <v>6676</v>
      </c>
      <c r="D531" s="65" t="n">
        <v>32526</v>
      </c>
      <c r="E531" s="65" t="n">
        <v>496</v>
      </c>
      <c r="F531" s="65" t="n">
        <v>163</v>
      </c>
    </row>
    <row r="532">
      <c r="A532" s="64" t="n">
        <v>46118</v>
      </c>
      <c r="B532" s="65">
        <f>'⚙ Настройки'!$A$4</f>
        <v/>
      </c>
      <c r="C532" s="66" t="n">
        <v>9101</v>
      </c>
      <c r="D532" s="65" t="n">
        <v>41240</v>
      </c>
      <c r="E532" s="65" t="n">
        <v>714</v>
      </c>
      <c r="F532" s="65" t="n">
        <v>109</v>
      </c>
    </row>
    <row r="533">
      <c r="A533" s="64" t="n">
        <v>46119</v>
      </c>
      <c r="B533" s="65">
        <f>'⚙ Настройки'!$A$2</f>
        <v/>
      </c>
      <c r="C533" s="66" t="n">
        <v>3840</v>
      </c>
      <c r="D533" s="65" t="n">
        <v>19325</v>
      </c>
      <c r="E533" s="65" t="n">
        <v>397</v>
      </c>
      <c r="F533" s="65" t="n">
        <v>156</v>
      </c>
    </row>
    <row r="534">
      <c r="A534" s="64" t="n">
        <v>46119</v>
      </c>
      <c r="B534" s="65">
        <f>'⚙ Настройки'!$A$3</f>
        <v/>
      </c>
      <c r="C534" s="66" t="n">
        <v>5630</v>
      </c>
      <c r="D534" s="65" t="n">
        <v>26772</v>
      </c>
      <c r="E534" s="65" t="n">
        <v>415</v>
      </c>
      <c r="F534" s="65" t="n">
        <v>153</v>
      </c>
    </row>
    <row r="535">
      <c r="A535" s="64" t="n">
        <v>46119</v>
      </c>
      <c r="B535" s="65">
        <f>'⚙ Настройки'!$A$4</f>
        <v/>
      </c>
      <c r="C535" s="66" t="n">
        <v>6514</v>
      </c>
      <c r="D535" s="65" t="n">
        <v>32830</v>
      </c>
      <c r="E535" s="65" t="n">
        <v>629</v>
      </c>
      <c r="F535" s="65" t="n">
        <v>71</v>
      </c>
    </row>
    <row r="536">
      <c r="A536" s="64" t="n">
        <v>46120</v>
      </c>
      <c r="B536" s="65">
        <f>'⚙ Настройки'!$A$2</f>
        <v/>
      </c>
      <c r="C536" s="66" t="n">
        <v>2679</v>
      </c>
      <c r="D536" s="65" t="n">
        <v>11874</v>
      </c>
      <c r="E536" s="65" t="n">
        <v>194</v>
      </c>
      <c r="F536" s="65" t="n">
        <v>63</v>
      </c>
    </row>
    <row r="537">
      <c r="A537" s="64" t="n">
        <v>46120</v>
      </c>
      <c r="B537" s="65">
        <f>'⚙ Настройки'!$A$3</f>
        <v/>
      </c>
      <c r="C537" s="66" t="n">
        <v>5968</v>
      </c>
      <c r="D537" s="65" t="n">
        <v>27606</v>
      </c>
      <c r="E537" s="65" t="n">
        <v>464</v>
      </c>
      <c r="F537" s="65" t="n">
        <v>87</v>
      </c>
    </row>
    <row r="538">
      <c r="A538" s="64" t="n">
        <v>46120</v>
      </c>
      <c r="B538" s="65">
        <f>'⚙ Настройки'!$A$4</f>
        <v/>
      </c>
      <c r="C538" s="66" t="n">
        <v>8636</v>
      </c>
      <c r="D538" s="65" t="n">
        <v>38985</v>
      </c>
      <c r="E538" s="65" t="n">
        <v>787</v>
      </c>
      <c r="F538" s="65" t="n">
        <v>140</v>
      </c>
    </row>
    <row r="539">
      <c r="A539" s="64" t="n">
        <v>46121</v>
      </c>
      <c r="B539" s="65">
        <f>'⚙ Настройки'!$A$2</f>
        <v/>
      </c>
      <c r="C539" s="66" t="n">
        <v>3110</v>
      </c>
      <c r="D539" s="65" t="n">
        <v>16262</v>
      </c>
      <c r="E539" s="65" t="n">
        <v>257</v>
      </c>
      <c r="F539" s="65" t="n">
        <v>106</v>
      </c>
    </row>
    <row r="540">
      <c r="A540" s="64" t="n">
        <v>46121</v>
      </c>
      <c r="B540" s="65">
        <f>'⚙ Настройки'!$A$3</f>
        <v/>
      </c>
      <c r="C540" s="66" t="n">
        <v>5992</v>
      </c>
      <c r="D540" s="65" t="n">
        <v>32826</v>
      </c>
      <c r="E540" s="65" t="n">
        <v>568</v>
      </c>
      <c r="F540" s="65" t="n">
        <v>99</v>
      </c>
    </row>
    <row r="541">
      <c r="A541" s="64" t="n">
        <v>46121</v>
      </c>
      <c r="B541" s="65">
        <f>'⚙ Настройки'!$A$4</f>
        <v/>
      </c>
      <c r="C541" s="66" t="n">
        <v>9887</v>
      </c>
      <c r="D541" s="65" t="n">
        <v>44031</v>
      </c>
      <c r="E541" s="65" t="n">
        <v>737</v>
      </c>
      <c r="F541" s="65" t="n">
        <v>161</v>
      </c>
    </row>
    <row r="542">
      <c r="A542" s="64" t="n">
        <v>46122</v>
      </c>
      <c r="B542" s="65">
        <f>'⚙ Настройки'!$A$2</f>
        <v/>
      </c>
      <c r="C542" s="66" t="n">
        <v>3378</v>
      </c>
      <c r="D542" s="65" t="n">
        <v>14258</v>
      </c>
      <c r="E542" s="65" t="n">
        <v>216</v>
      </c>
      <c r="F542" s="65" t="n">
        <v>118</v>
      </c>
    </row>
    <row r="543">
      <c r="A543" s="64" t="n">
        <v>46122</v>
      </c>
      <c r="B543" s="65">
        <f>'⚙ Настройки'!$A$3</f>
        <v/>
      </c>
      <c r="C543" s="66" t="n">
        <v>5073</v>
      </c>
      <c r="D543" s="65" t="n">
        <v>22909</v>
      </c>
      <c r="E543" s="65" t="n">
        <v>321</v>
      </c>
      <c r="F543" s="65" t="n">
        <v>122</v>
      </c>
    </row>
    <row r="544">
      <c r="A544" s="64" t="n">
        <v>46122</v>
      </c>
      <c r="B544" s="65">
        <f>'⚙ Настройки'!$A$4</f>
        <v/>
      </c>
      <c r="C544" s="66" t="n">
        <v>9352</v>
      </c>
      <c r="D544" s="65" t="n">
        <v>46531</v>
      </c>
      <c r="E544" s="65" t="n">
        <v>721</v>
      </c>
      <c r="F544" s="65" t="n">
        <v>107</v>
      </c>
    </row>
    <row r="545">
      <c r="A545" s="64" t="n">
        <v>46123</v>
      </c>
      <c r="B545" s="65">
        <f>'⚙ Настройки'!$A$2</f>
        <v/>
      </c>
      <c r="C545" s="66" t="n">
        <v>1873</v>
      </c>
      <c r="D545" s="65" t="n">
        <v>7855</v>
      </c>
      <c r="E545" s="65" t="n">
        <v>119</v>
      </c>
      <c r="F545" s="65" t="n">
        <v>93</v>
      </c>
    </row>
    <row r="546">
      <c r="A546" s="64" t="n">
        <v>46123</v>
      </c>
      <c r="B546" s="65">
        <f>'⚙ Настройки'!$A$3</f>
        <v/>
      </c>
      <c r="C546" s="66" t="n">
        <v>4609</v>
      </c>
      <c r="D546" s="65" t="n">
        <v>21420</v>
      </c>
      <c r="E546" s="65" t="n">
        <v>414</v>
      </c>
      <c r="F546" s="65" t="n">
        <v>124</v>
      </c>
    </row>
    <row r="547">
      <c r="A547" s="64" t="n">
        <v>46123</v>
      </c>
      <c r="B547" s="65">
        <f>'⚙ Настройки'!$A$4</f>
        <v/>
      </c>
      <c r="C547" s="66" t="n">
        <v>5775</v>
      </c>
      <c r="D547" s="65" t="n">
        <v>27334</v>
      </c>
      <c r="E547" s="65" t="n">
        <v>529</v>
      </c>
      <c r="F547" s="65" t="n">
        <v>65</v>
      </c>
    </row>
    <row r="548">
      <c r="A548" s="64" t="n">
        <v>46124</v>
      </c>
      <c r="B548" s="65">
        <f>'⚙ Настройки'!$A$2</f>
        <v/>
      </c>
      <c r="C548" s="66" t="n">
        <v>1707</v>
      </c>
      <c r="D548" s="65" t="n">
        <v>8384</v>
      </c>
      <c r="E548" s="65" t="n">
        <v>178</v>
      </c>
      <c r="F548" s="65" t="n">
        <v>42</v>
      </c>
    </row>
    <row r="549">
      <c r="A549" s="64" t="n">
        <v>46124</v>
      </c>
      <c r="B549" s="65">
        <f>'⚙ Настройки'!$A$3</f>
        <v/>
      </c>
      <c r="C549" s="66" t="n">
        <v>3935</v>
      </c>
      <c r="D549" s="65" t="n">
        <v>18457</v>
      </c>
      <c r="E549" s="65" t="n">
        <v>298</v>
      </c>
      <c r="F549" s="65" t="n">
        <v>72</v>
      </c>
    </row>
    <row r="550">
      <c r="A550" s="64" t="n">
        <v>46124</v>
      </c>
      <c r="B550" s="65">
        <f>'⚙ Настройки'!$A$4</f>
        <v/>
      </c>
      <c r="C550" s="66" t="n">
        <v>4648</v>
      </c>
      <c r="D550" s="65" t="n">
        <v>23202</v>
      </c>
      <c r="E550" s="65" t="n">
        <v>337</v>
      </c>
      <c r="F550" s="65" t="n">
        <v>74</v>
      </c>
    </row>
    <row r="551">
      <c r="A551" s="64" t="n">
        <v>46125</v>
      </c>
      <c r="B551" s="65">
        <f>'⚙ Настройки'!$A$2</f>
        <v/>
      </c>
      <c r="C551" s="66" t="n">
        <v>3494</v>
      </c>
      <c r="D551" s="65" t="n">
        <v>14567</v>
      </c>
      <c r="E551" s="65" t="n">
        <v>313</v>
      </c>
      <c r="F551" s="65" t="n">
        <v>129</v>
      </c>
    </row>
    <row r="552">
      <c r="A552" s="64" t="n">
        <v>46125</v>
      </c>
      <c r="B552" s="65">
        <f>'⚙ Настройки'!$A$3</f>
        <v/>
      </c>
      <c r="C552" s="66" t="n">
        <v>5723</v>
      </c>
      <c r="D552" s="65" t="n">
        <v>23863</v>
      </c>
      <c r="E552" s="65" t="n">
        <v>444</v>
      </c>
      <c r="F552" s="65" t="n">
        <v>125</v>
      </c>
    </row>
    <row r="553">
      <c r="A553" s="64" t="n">
        <v>46125</v>
      </c>
      <c r="B553" s="65">
        <f>'⚙ Настройки'!$A$4</f>
        <v/>
      </c>
      <c r="C553" s="66" t="n">
        <v>8147</v>
      </c>
      <c r="D553" s="65" t="n">
        <v>35251</v>
      </c>
      <c r="E553" s="65" t="n">
        <v>682</v>
      </c>
      <c r="F553" s="65" t="n">
        <v>114</v>
      </c>
    </row>
    <row r="554">
      <c r="A554" s="64" t="n">
        <v>46126</v>
      </c>
      <c r="B554" s="65">
        <f>'⚙ Настройки'!$A$2</f>
        <v/>
      </c>
      <c r="C554" s="66" t="n">
        <v>2641</v>
      </c>
      <c r="D554" s="65" t="n">
        <v>11183</v>
      </c>
      <c r="E554" s="65" t="n">
        <v>223</v>
      </c>
      <c r="F554" s="65" t="n">
        <v>135</v>
      </c>
    </row>
    <row r="555">
      <c r="A555" s="64" t="n">
        <v>46126</v>
      </c>
      <c r="B555" s="65">
        <f>'⚙ Настройки'!$A$3</f>
        <v/>
      </c>
      <c r="C555" s="66" t="n">
        <v>4573</v>
      </c>
      <c r="D555" s="65" t="n">
        <v>24144</v>
      </c>
      <c r="E555" s="65" t="n">
        <v>485</v>
      </c>
      <c r="F555" s="65" t="n">
        <v>136</v>
      </c>
    </row>
    <row r="556">
      <c r="A556" s="64" t="n">
        <v>46126</v>
      </c>
      <c r="B556" s="65">
        <f>'⚙ Настройки'!$A$4</f>
        <v/>
      </c>
      <c r="C556" s="66" t="n">
        <v>7755</v>
      </c>
      <c r="D556" s="65" t="n">
        <v>36167</v>
      </c>
      <c r="E556" s="65" t="n">
        <v>586</v>
      </c>
      <c r="F556" s="65" t="n">
        <v>91</v>
      </c>
    </row>
    <row r="557">
      <c r="A557" s="64" t="n">
        <v>46127</v>
      </c>
      <c r="B557" s="65">
        <f>'⚙ Настройки'!$A$2</f>
        <v/>
      </c>
      <c r="C557" s="66" t="n">
        <v>3395</v>
      </c>
      <c r="D557" s="65" t="n">
        <v>16747</v>
      </c>
      <c r="E557" s="65" t="n">
        <v>285</v>
      </c>
      <c r="F557" s="65" t="n">
        <v>126</v>
      </c>
    </row>
    <row r="558">
      <c r="A558" s="64" t="n">
        <v>46127</v>
      </c>
      <c r="B558" s="65">
        <f>'⚙ Настройки'!$A$3</f>
        <v/>
      </c>
      <c r="C558" s="66" t="n">
        <v>4518</v>
      </c>
      <c r="D558" s="65" t="n">
        <v>23750</v>
      </c>
      <c r="E558" s="65" t="n">
        <v>432</v>
      </c>
      <c r="F558" s="65" t="n">
        <v>73</v>
      </c>
    </row>
    <row r="559">
      <c r="A559" s="64" t="n">
        <v>46127</v>
      </c>
      <c r="B559" s="65">
        <f>'⚙ Настройки'!$A$4</f>
        <v/>
      </c>
      <c r="C559" s="66" t="n">
        <v>9333</v>
      </c>
      <c r="D559" s="65" t="n">
        <v>40525</v>
      </c>
      <c r="E559" s="65" t="n">
        <v>616</v>
      </c>
      <c r="F559" s="65" t="n">
        <v>123</v>
      </c>
    </row>
    <row r="560">
      <c r="A560" s="64" t="n">
        <v>46128</v>
      </c>
      <c r="B560" s="65">
        <f>'⚙ Настройки'!$A$2</f>
        <v/>
      </c>
      <c r="C560" s="66" t="n">
        <v>2621</v>
      </c>
      <c r="D560" s="65" t="n">
        <v>14547</v>
      </c>
      <c r="E560" s="65" t="n">
        <v>236</v>
      </c>
      <c r="F560" s="65" t="n">
        <v>95</v>
      </c>
    </row>
    <row r="561">
      <c r="A561" s="64" t="n">
        <v>46128</v>
      </c>
      <c r="B561" s="65">
        <f>'⚙ Настройки'!$A$3</f>
        <v/>
      </c>
      <c r="C561" s="66" t="n">
        <v>5972</v>
      </c>
      <c r="D561" s="65" t="n">
        <v>26148</v>
      </c>
      <c r="E561" s="65" t="n">
        <v>379</v>
      </c>
      <c r="F561" s="65" t="n">
        <v>200</v>
      </c>
    </row>
    <row r="562">
      <c r="A562" s="64" t="n">
        <v>46128</v>
      </c>
      <c r="B562" s="65">
        <f>'⚙ Настройки'!$A$4</f>
        <v/>
      </c>
      <c r="C562" s="66" t="n">
        <v>9203</v>
      </c>
      <c r="D562" s="65" t="n">
        <v>43817</v>
      </c>
      <c r="E562" s="65" t="n">
        <v>928</v>
      </c>
      <c r="F562" s="65" t="n">
        <v>104</v>
      </c>
    </row>
    <row r="563">
      <c r="A563" s="64" t="n">
        <v>46129</v>
      </c>
      <c r="B563" s="65">
        <f>'⚙ Настройки'!$A$2</f>
        <v/>
      </c>
      <c r="C563" s="66" t="n">
        <v>3860</v>
      </c>
      <c r="D563" s="65" t="n">
        <v>20595</v>
      </c>
      <c r="E563" s="65" t="n">
        <v>447</v>
      </c>
      <c r="F563" s="65" t="n">
        <v>161</v>
      </c>
    </row>
    <row r="564">
      <c r="A564" s="64" t="n">
        <v>46129</v>
      </c>
      <c r="B564" s="65">
        <f>'⚙ Настройки'!$A$3</f>
        <v/>
      </c>
      <c r="C564" s="66" t="n">
        <v>6425</v>
      </c>
      <c r="D564" s="65" t="n">
        <v>32227</v>
      </c>
      <c r="E564" s="65" t="n">
        <v>636</v>
      </c>
      <c r="F564" s="65" t="n">
        <v>148</v>
      </c>
    </row>
    <row r="565">
      <c r="A565" s="64" t="n">
        <v>46129</v>
      </c>
      <c r="B565" s="65">
        <f>'⚙ Настройки'!$A$4</f>
        <v/>
      </c>
      <c r="C565" s="66" t="n">
        <v>9167</v>
      </c>
      <c r="D565" s="65" t="n">
        <v>39985</v>
      </c>
      <c r="E565" s="65" t="n">
        <v>767</v>
      </c>
      <c r="F565" s="65" t="n">
        <v>105</v>
      </c>
    </row>
    <row r="566">
      <c r="A566" s="64" t="n">
        <v>46130</v>
      </c>
      <c r="B566" s="65">
        <f>'⚙ Настройки'!$A$2</f>
        <v/>
      </c>
      <c r="C566" s="66" t="n">
        <v>2045</v>
      </c>
      <c r="D566" s="65" t="n">
        <v>8919</v>
      </c>
      <c r="E566" s="65" t="n">
        <v>184</v>
      </c>
      <c r="F566" s="65" t="n">
        <v>69</v>
      </c>
    </row>
    <row r="567">
      <c r="A567" s="64" t="n">
        <v>46130</v>
      </c>
      <c r="B567" s="65">
        <f>'⚙ Настройки'!$A$3</f>
        <v/>
      </c>
      <c r="C567" s="66" t="n">
        <v>3310</v>
      </c>
      <c r="D567" s="65" t="n">
        <v>16888</v>
      </c>
      <c r="E567" s="65" t="n">
        <v>250</v>
      </c>
      <c r="F567" s="65" t="n">
        <v>51</v>
      </c>
    </row>
    <row r="568">
      <c r="A568" s="64" t="n">
        <v>46130</v>
      </c>
      <c r="B568" s="65">
        <f>'⚙ Настройки'!$A$4</f>
        <v/>
      </c>
      <c r="C568" s="66" t="n">
        <v>4672</v>
      </c>
      <c r="D568" s="65" t="n">
        <v>21022</v>
      </c>
      <c r="E568" s="65" t="n">
        <v>413</v>
      </c>
      <c r="F568" s="65" t="n">
        <v>64</v>
      </c>
    </row>
    <row r="569">
      <c r="A569" s="64" t="n">
        <v>46131</v>
      </c>
      <c r="B569" s="65">
        <f>'⚙ Настройки'!$A$2</f>
        <v/>
      </c>
      <c r="C569" s="66" t="n">
        <v>1708</v>
      </c>
      <c r="D569" s="65" t="n">
        <v>8195</v>
      </c>
      <c r="E569" s="65" t="n">
        <v>139</v>
      </c>
      <c r="F569" s="65" t="n">
        <v>41</v>
      </c>
    </row>
    <row r="570">
      <c r="A570" s="64" t="n">
        <v>46131</v>
      </c>
      <c r="B570" s="65">
        <f>'⚙ Настройки'!$A$3</f>
        <v/>
      </c>
      <c r="C570" s="66" t="n">
        <v>4133</v>
      </c>
      <c r="D570" s="65" t="n">
        <v>20569</v>
      </c>
      <c r="E570" s="65" t="n">
        <v>362</v>
      </c>
      <c r="F570" s="65" t="n">
        <v>93</v>
      </c>
    </row>
    <row r="571">
      <c r="A571" s="64" t="n">
        <v>46131</v>
      </c>
      <c r="B571" s="65">
        <f>'⚙ Настройки'!$A$4</f>
        <v/>
      </c>
      <c r="C571" s="66" t="n">
        <v>5089</v>
      </c>
      <c r="D571" s="65" t="n">
        <v>27652</v>
      </c>
      <c r="E571" s="65" t="n">
        <v>521</v>
      </c>
      <c r="F571" s="65" t="n">
        <v>60</v>
      </c>
    </row>
    <row r="572">
      <c r="A572" s="64" t="n">
        <v>46132</v>
      </c>
      <c r="B572" s="65">
        <f>'⚙ Настройки'!$A$2</f>
        <v/>
      </c>
      <c r="C572" s="66" t="n">
        <v>2670</v>
      </c>
      <c r="D572" s="65" t="n">
        <v>13227</v>
      </c>
      <c r="E572" s="65" t="n">
        <v>280</v>
      </c>
      <c r="F572" s="65" t="n">
        <v>137</v>
      </c>
    </row>
    <row r="573">
      <c r="A573" s="64" t="n">
        <v>46132</v>
      </c>
      <c r="B573" s="65">
        <f>'⚙ Настройки'!$A$3</f>
        <v/>
      </c>
      <c r="C573" s="66" t="n">
        <v>4413</v>
      </c>
      <c r="D573" s="65" t="n">
        <v>18905</v>
      </c>
      <c r="E573" s="65" t="n">
        <v>353</v>
      </c>
      <c r="F573" s="65" t="n">
        <v>66</v>
      </c>
    </row>
    <row r="574">
      <c r="A574" s="64" t="n">
        <v>46132</v>
      </c>
      <c r="B574" s="65">
        <f>'⚙ Настройки'!$A$4</f>
        <v/>
      </c>
      <c r="C574" s="66" t="n">
        <v>7270</v>
      </c>
      <c r="D574" s="65" t="n">
        <v>37710</v>
      </c>
      <c r="E574" s="65" t="n">
        <v>595</v>
      </c>
      <c r="F574" s="65" t="n">
        <v>161</v>
      </c>
    </row>
    <row r="575">
      <c r="A575" s="64" t="n">
        <v>46133</v>
      </c>
      <c r="B575" s="65">
        <f>'⚙ Настройки'!$A$2</f>
        <v/>
      </c>
      <c r="C575" s="66" t="n">
        <v>3017</v>
      </c>
      <c r="D575" s="65" t="n">
        <v>13191</v>
      </c>
      <c r="E575" s="65" t="n">
        <v>266</v>
      </c>
      <c r="F575" s="65" t="n">
        <v>153</v>
      </c>
    </row>
    <row r="576">
      <c r="A576" s="64" t="n">
        <v>46133</v>
      </c>
      <c r="B576" s="65">
        <f>'⚙ Настройки'!$A$3</f>
        <v/>
      </c>
      <c r="C576" s="66" t="n">
        <v>5512</v>
      </c>
      <c r="D576" s="65" t="n">
        <v>25376</v>
      </c>
      <c r="E576" s="65" t="n">
        <v>406</v>
      </c>
      <c r="F576" s="65" t="n">
        <v>177</v>
      </c>
    </row>
    <row r="577">
      <c r="A577" s="64" t="n">
        <v>46133</v>
      </c>
      <c r="B577" s="65">
        <f>'⚙ Настройки'!$A$4</f>
        <v/>
      </c>
      <c r="C577" s="66" t="n">
        <v>8932</v>
      </c>
      <c r="D577" s="65" t="n">
        <v>37452</v>
      </c>
      <c r="E577" s="65" t="n">
        <v>765</v>
      </c>
      <c r="F577" s="65" t="n">
        <v>151</v>
      </c>
    </row>
    <row r="578">
      <c r="A578" s="64" t="n">
        <v>46134</v>
      </c>
      <c r="B578" s="65">
        <f>'⚙ Настройки'!$A$2</f>
        <v/>
      </c>
      <c r="C578" s="66" t="n">
        <v>2426</v>
      </c>
      <c r="D578" s="65" t="n">
        <v>13202</v>
      </c>
      <c r="E578" s="65" t="n">
        <v>282</v>
      </c>
      <c r="F578" s="65" t="n">
        <v>97</v>
      </c>
    </row>
    <row r="579">
      <c r="A579" s="64" t="n">
        <v>46134</v>
      </c>
      <c r="B579" s="65">
        <f>'⚙ Настройки'!$A$3</f>
        <v/>
      </c>
      <c r="C579" s="66" t="n">
        <v>6915</v>
      </c>
      <c r="D579" s="65" t="n">
        <v>29898</v>
      </c>
      <c r="E579" s="65" t="n">
        <v>494</v>
      </c>
      <c r="F579" s="65" t="n">
        <v>107</v>
      </c>
    </row>
    <row r="580">
      <c r="A580" s="64" t="n">
        <v>46134</v>
      </c>
      <c r="B580" s="65">
        <f>'⚙ Настройки'!$A$4</f>
        <v/>
      </c>
      <c r="C580" s="66" t="n">
        <v>9038</v>
      </c>
      <c r="D580" s="65" t="n">
        <v>49031</v>
      </c>
      <c r="E580" s="65" t="n">
        <v>1015</v>
      </c>
      <c r="F580" s="65" t="n">
        <v>158</v>
      </c>
    </row>
    <row r="581">
      <c r="A581" s="64" t="n">
        <v>46135</v>
      </c>
      <c r="B581" s="65">
        <f>'⚙ Настройки'!$A$2</f>
        <v/>
      </c>
      <c r="C581" s="66" t="n">
        <v>3556</v>
      </c>
      <c r="D581" s="65" t="n">
        <v>15202</v>
      </c>
      <c r="E581" s="65" t="n">
        <v>254</v>
      </c>
      <c r="F581" s="65" t="n">
        <v>140</v>
      </c>
    </row>
    <row r="582">
      <c r="A582" s="64" t="n">
        <v>46135</v>
      </c>
      <c r="B582" s="65">
        <f>'⚙ Настройки'!$A$3</f>
        <v/>
      </c>
      <c r="C582" s="66" t="n">
        <v>6596</v>
      </c>
      <c r="D582" s="65" t="n">
        <v>33276</v>
      </c>
      <c r="E582" s="65" t="n">
        <v>626</v>
      </c>
      <c r="F582" s="65" t="n">
        <v>99</v>
      </c>
    </row>
    <row r="583">
      <c r="A583" s="64" t="n">
        <v>46135</v>
      </c>
      <c r="B583" s="65">
        <f>'⚙ Настройки'!$A$4</f>
        <v/>
      </c>
      <c r="C583" s="66" t="n">
        <v>6185</v>
      </c>
      <c r="D583" s="65" t="n">
        <v>28404</v>
      </c>
      <c r="E583" s="65" t="n">
        <v>429</v>
      </c>
      <c r="F583" s="65" t="n">
        <v>113</v>
      </c>
    </row>
    <row r="584">
      <c r="A584" s="64" t="n">
        <v>46136</v>
      </c>
      <c r="B584" s="65">
        <f>'⚙ Настройки'!$A$2</f>
        <v/>
      </c>
      <c r="C584" s="66" t="n">
        <v>3893</v>
      </c>
      <c r="D584" s="65" t="n">
        <v>17939</v>
      </c>
      <c r="E584" s="65" t="n">
        <v>289</v>
      </c>
      <c r="F584" s="65" t="n">
        <v>107</v>
      </c>
    </row>
    <row r="585">
      <c r="A585" s="64" t="n">
        <v>46136</v>
      </c>
      <c r="B585" s="65">
        <f>'⚙ Настройки'!$A$3</f>
        <v/>
      </c>
      <c r="C585" s="66" t="n">
        <v>5689</v>
      </c>
      <c r="D585" s="65" t="n">
        <v>24006</v>
      </c>
      <c r="E585" s="65" t="n">
        <v>383</v>
      </c>
      <c r="F585" s="65" t="n">
        <v>128</v>
      </c>
    </row>
    <row r="586">
      <c r="A586" s="64" t="n">
        <v>46136</v>
      </c>
      <c r="B586" s="65">
        <f>'⚙ Настройки'!$A$4</f>
        <v/>
      </c>
      <c r="C586" s="66" t="n">
        <v>6421</v>
      </c>
      <c r="D586" s="65" t="n">
        <v>31058</v>
      </c>
      <c r="E586" s="65" t="n">
        <v>573</v>
      </c>
      <c r="F586" s="65" t="n">
        <v>77</v>
      </c>
    </row>
    <row r="587">
      <c r="A587" s="64" t="n">
        <v>46137</v>
      </c>
      <c r="B587" s="65">
        <f>'⚙ Настройки'!$A$2</f>
        <v/>
      </c>
      <c r="C587" s="66" t="n">
        <v>2016</v>
      </c>
      <c r="D587" s="65" t="n">
        <v>10258</v>
      </c>
      <c r="E587" s="65" t="n">
        <v>144</v>
      </c>
      <c r="F587" s="65" t="n">
        <v>54</v>
      </c>
    </row>
    <row r="588">
      <c r="A588" s="64" t="n">
        <v>46137</v>
      </c>
      <c r="B588" s="65">
        <f>'⚙ Настройки'!$A$3</f>
        <v/>
      </c>
      <c r="C588" s="66" t="n">
        <v>4432</v>
      </c>
      <c r="D588" s="65" t="n">
        <v>22930</v>
      </c>
      <c r="E588" s="65" t="n">
        <v>378</v>
      </c>
      <c r="F588" s="65" t="n">
        <v>70</v>
      </c>
    </row>
    <row r="589">
      <c r="A589" s="64" t="n">
        <v>46137</v>
      </c>
      <c r="B589" s="65">
        <f>'⚙ Настройки'!$A$4</f>
        <v/>
      </c>
      <c r="C589" s="66" t="n">
        <v>4443</v>
      </c>
      <c r="D589" s="65" t="n">
        <v>19347</v>
      </c>
      <c r="E589" s="65" t="n">
        <v>288</v>
      </c>
      <c r="F589" s="65" t="n">
        <v>86</v>
      </c>
    </row>
    <row r="590">
      <c r="A590" s="64" t="n">
        <v>46138</v>
      </c>
      <c r="B590" s="65">
        <f>'⚙ Настройки'!$A$2</f>
        <v/>
      </c>
      <c r="C590" s="66" t="n">
        <v>2685</v>
      </c>
      <c r="D590" s="65" t="n">
        <v>12314</v>
      </c>
      <c r="E590" s="65" t="n">
        <v>265</v>
      </c>
      <c r="F590" s="65" t="n">
        <v>140</v>
      </c>
    </row>
    <row r="591">
      <c r="A591" s="64" t="n">
        <v>46138</v>
      </c>
      <c r="B591" s="65">
        <f>'⚙ Настройки'!$A$3</f>
        <v/>
      </c>
      <c r="C591" s="66" t="n">
        <v>3969</v>
      </c>
      <c r="D591" s="65" t="n">
        <v>17441</v>
      </c>
      <c r="E591" s="65" t="n">
        <v>278</v>
      </c>
      <c r="F591" s="65" t="n">
        <v>110</v>
      </c>
    </row>
    <row r="592">
      <c r="A592" s="64" t="n">
        <v>46138</v>
      </c>
      <c r="B592" s="65">
        <f>'⚙ Настройки'!$A$4</f>
        <v/>
      </c>
      <c r="C592" s="66" t="n">
        <v>6152</v>
      </c>
      <c r="D592" s="65" t="n">
        <v>30698</v>
      </c>
      <c r="E592" s="65" t="n">
        <v>511</v>
      </c>
      <c r="F592" s="65" t="n">
        <v>88</v>
      </c>
    </row>
    <row r="593">
      <c r="A593" s="64" t="n">
        <v>46139</v>
      </c>
      <c r="B593" s="65">
        <f>'⚙ Настройки'!$A$2</f>
        <v/>
      </c>
      <c r="C593" s="66" t="n">
        <v>2755</v>
      </c>
      <c r="D593" s="65" t="n">
        <v>13213</v>
      </c>
      <c r="E593" s="65" t="n">
        <v>286</v>
      </c>
      <c r="F593" s="65" t="n">
        <v>65</v>
      </c>
    </row>
    <row r="594">
      <c r="A594" s="64" t="n">
        <v>46139</v>
      </c>
      <c r="B594" s="65">
        <f>'⚙ Настройки'!$A$3</f>
        <v/>
      </c>
      <c r="C594" s="66" t="n">
        <v>5316</v>
      </c>
      <c r="D594" s="65" t="n">
        <v>27804</v>
      </c>
      <c r="E594" s="65" t="n">
        <v>605</v>
      </c>
      <c r="F594" s="65" t="n">
        <v>131</v>
      </c>
    </row>
    <row r="595">
      <c r="A595" s="64" t="n">
        <v>46139</v>
      </c>
      <c r="B595" s="65">
        <f>'⚙ Настройки'!$A$4</f>
        <v/>
      </c>
      <c r="C595" s="66" t="n">
        <v>7097</v>
      </c>
      <c r="D595" s="65" t="n">
        <v>31181</v>
      </c>
      <c r="E595" s="65" t="n">
        <v>489</v>
      </c>
      <c r="F595" s="65" t="n">
        <v>84</v>
      </c>
    </row>
    <row r="596">
      <c r="A596" s="64" t="n">
        <v>46140</v>
      </c>
      <c r="B596" s="65">
        <f>'⚙ Настройки'!$A$2</f>
        <v/>
      </c>
      <c r="C596" s="66" t="n">
        <v>3001</v>
      </c>
      <c r="D596" s="65" t="n">
        <v>15385</v>
      </c>
      <c r="E596" s="65" t="n">
        <v>268</v>
      </c>
      <c r="F596" s="65" t="n">
        <v>97</v>
      </c>
    </row>
    <row r="597">
      <c r="A597" s="64" t="n">
        <v>46140</v>
      </c>
      <c r="B597" s="65">
        <f>'⚙ Настройки'!$A$3</f>
        <v/>
      </c>
      <c r="C597" s="66" t="n">
        <v>5903</v>
      </c>
      <c r="D597" s="65" t="n">
        <v>31585</v>
      </c>
      <c r="E597" s="65" t="n">
        <v>577</v>
      </c>
      <c r="F597" s="65" t="n">
        <v>133</v>
      </c>
    </row>
    <row r="598">
      <c r="A598" s="64" t="n">
        <v>46140</v>
      </c>
      <c r="B598" s="65">
        <f>'⚙ Настройки'!$A$4</f>
        <v/>
      </c>
      <c r="C598" s="66" t="n">
        <v>9549</v>
      </c>
      <c r="D598" s="65" t="n">
        <v>44995</v>
      </c>
      <c r="E598" s="65" t="n">
        <v>641</v>
      </c>
      <c r="F598" s="65" t="n">
        <v>117</v>
      </c>
    </row>
    <row r="599">
      <c r="A599" s="64" t="n">
        <v>46141</v>
      </c>
      <c r="B599" s="65">
        <f>'⚙ Настройки'!$A$2</f>
        <v/>
      </c>
      <c r="C599" s="66" t="n">
        <v>3867</v>
      </c>
      <c r="D599" s="65" t="n">
        <v>20249</v>
      </c>
      <c r="E599" s="65" t="n">
        <v>413</v>
      </c>
      <c r="F599" s="65" t="n">
        <v>105</v>
      </c>
    </row>
    <row r="600">
      <c r="A600" s="64" t="n">
        <v>46141</v>
      </c>
      <c r="B600" s="65">
        <f>'⚙ Настройки'!$A$3</f>
        <v/>
      </c>
      <c r="C600" s="66" t="n">
        <v>5455</v>
      </c>
      <c r="D600" s="65" t="n">
        <v>29659</v>
      </c>
      <c r="E600" s="65" t="n">
        <v>444</v>
      </c>
      <c r="F600" s="65" t="n">
        <v>89</v>
      </c>
    </row>
    <row r="601">
      <c r="A601" s="64" t="n">
        <v>46141</v>
      </c>
      <c r="B601" s="65">
        <f>'⚙ Настройки'!$A$4</f>
        <v/>
      </c>
      <c r="C601" s="66" t="n">
        <v>6328</v>
      </c>
      <c r="D601" s="65" t="n">
        <v>30093</v>
      </c>
      <c r="E601" s="65" t="n">
        <v>523</v>
      </c>
      <c r="F601" s="65" t="n">
        <v>146</v>
      </c>
    </row>
    <row r="602">
      <c r="A602" s="64" t="n">
        <v>46142</v>
      </c>
      <c r="B602" s="65">
        <f>'⚙ Настройки'!$A$2</f>
        <v/>
      </c>
      <c r="C602" s="66" t="n">
        <v>3703</v>
      </c>
      <c r="D602" s="65" t="n">
        <v>16358</v>
      </c>
      <c r="E602" s="65" t="n">
        <v>308</v>
      </c>
      <c r="F602" s="65" t="n">
        <v>139</v>
      </c>
    </row>
    <row r="603">
      <c r="A603" s="64" t="n">
        <v>46142</v>
      </c>
      <c r="B603" s="65">
        <f>'⚙ Настройки'!$A$3</f>
        <v/>
      </c>
      <c r="C603" s="66" t="n">
        <v>5312</v>
      </c>
      <c r="D603" s="65" t="n">
        <v>27284</v>
      </c>
      <c r="E603" s="65" t="n">
        <v>424</v>
      </c>
      <c r="F603" s="65" t="n">
        <v>132</v>
      </c>
    </row>
    <row r="604">
      <c r="A604" s="64" t="n">
        <v>46142</v>
      </c>
      <c r="B604" s="65">
        <f>'⚙ Настройки'!$A$4</f>
        <v/>
      </c>
      <c r="C604" s="66" t="n">
        <v>8829</v>
      </c>
      <c r="D604" s="65" t="n">
        <v>39508</v>
      </c>
      <c r="E604" s="65" t="n">
        <v>738</v>
      </c>
      <c r="F604" s="65" t="n">
        <v>144</v>
      </c>
    </row>
    <row r="605">
      <c r="A605" s="64" t="n">
        <v>46143</v>
      </c>
      <c r="B605" s="65">
        <f>'⚙ Настройки'!$A$2</f>
        <v/>
      </c>
      <c r="C605" s="66" t="n">
        <v>2904</v>
      </c>
      <c r="D605" s="65" t="n">
        <v>14397</v>
      </c>
      <c r="E605" s="65" t="n">
        <v>292</v>
      </c>
      <c r="F605" s="65" t="n">
        <v>141</v>
      </c>
    </row>
    <row r="606">
      <c r="A606" s="64" t="n">
        <v>46143</v>
      </c>
      <c r="B606" s="65">
        <f>'⚙ Настройки'!$A$3</f>
        <v/>
      </c>
      <c r="C606" s="66" t="n">
        <v>4990</v>
      </c>
      <c r="D606" s="65" t="n">
        <v>27403</v>
      </c>
      <c r="E606" s="65" t="n">
        <v>529</v>
      </c>
      <c r="F606" s="65" t="n">
        <v>117</v>
      </c>
    </row>
    <row r="607">
      <c r="A607" s="64" t="n">
        <v>46143</v>
      </c>
      <c r="B607" s="65">
        <f>'⚙ Настройки'!$A$4</f>
        <v/>
      </c>
      <c r="C607" s="66" t="n">
        <v>8349</v>
      </c>
      <c r="D607" s="65" t="n">
        <v>38774</v>
      </c>
      <c r="E607" s="65" t="n">
        <v>613</v>
      </c>
      <c r="F607" s="65" t="n">
        <v>97</v>
      </c>
    </row>
    <row r="608">
      <c r="A608" s="64" t="n">
        <v>46144</v>
      </c>
      <c r="B608" s="65">
        <f>'⚙ Настройки'!$A$2</f>
        <v/>
      </c>
      <c r="C608" s="66" t="n">
        <v>1898</v>
      </c>
      <c r="D608" s="65" t="n">
        <v>8429</v>
      </c>
      <c r="E608" s="65" t="n">
        <v>135</v>
      </c>
      <c r="F608" s="65" t="n">
        <v>94</v>
      </c>
    </row>
    <row r="609">
      <c r="A609" s="64" t="n">
        <v>46144</v>
      </c>
      <c r="B609" s="65">
        <f>'⚙ Настройки'!$A$3</f>
        <v/>
      </c>
      <c r="C609" s="66" t="n">
        <v>3333</v>
      </c>
      <c r="D609" s="65" t="n">
        <v>14990</v>
      </c>
      <c r="E609" s="65" t="n">
        <v>221</v>
      </c>
      <c r="F609" s="65" t="n">
        <v>84</v>
      </c>
    </row>
    <row r="610">
      <c r="A610" s="64" t="n">
        <v>46144</v>
      </c>
      <c r="B610" s="65">
        <f>'⚙ Настройки'!$A$4</f>
        <v/>
      </c>
      <c r="C610" s="66" t="n">
        <v>7257</v>
      </c>
      <c r="D610" s="65" t="n">
        <v>31794</v>
      </c>
      <c r="E610" s="65" t="n">
        <v>690</v>
      </c>
      <c r="F610" s="65" t="n">
        <v>127</v>
      </c>
    </row>
    <row r="611">
      <c r="A611" s="64" t="n">
        <v>46145</v>
      </c>
      <c r="B611" s="65">
        <f>'⚙ Настройки'!$A$2</f>
        <v/>
      </c>
      <c r="C611" s="66" t="n">
        <v>1717</v>
      </c>
      <c r="D611" s="65" t="n">
        <v>8055</v>
      </c>
      <c r="E611" s="65" t="n">
        <v>134</v>
      </c>
      <c r="F611" s="65" t="n">
        <v>40</v>
      </c>
    </row>
    <row r="612">
      <c r="A612" s="64" t="n">
        <v>46145</v>
      </c>
      <c r="B612" s="65">
        <f>'⚙ Настройки'!$A$3</f>
        <v/>
      </c>
      <c r="C612" s="66" t="n">
        <v>4705</v>
      </c>
      <c r="D612" s="65" t="n">
        <v>25071</v>
      </c>
      <c r="E612" s="65" t="n">
        <v>440</v>
      </c>
      <c r="F612" s="65" t="n">
        <v>76</v>
      </c>
    </row>
    <row r="613">
      <c r="A613" s="64" t="n">
        <v>46145</v>
      </c>
      <c r="B613" s="65">
        <f>'⚙ Настройки'!$A$4</f>
        <v/>
      </c>
      <c r="C613" s="66" t="n">
        <v>7237</v>
      </c>
      <c r="D613" s="65" t="n">
        <v>39271</v>
      </c>
      <c r="E613" s="65" t="n">
        <v>700</v>
      </c>
      <c r="F613" s="65" t="n">
        <v>154</v>
      </c>
    </row>
    <row r="614">
      <c r="A614" s="64" t="n">
        <v>46146</v>
      </c>
      <c r="B614" s="65">
        <f>'⚙ Настройки'!$A$2</f>
        <v/>
      </c>
      <c r="C614" s="66" t="n">
        <v>3816</v>
      </c>
      <c r="D614" s="65" t="n">
        <v>15949</v>
      </c>
      <c r="E614" s="65" t="n">
        <v>257</v>
      </c>
      <c r="F614" s="65" t="n">
        <v>185</v>
      </c>
    </row>
    <row r="615">
      <c r="A615" s="64" t="n">
        <v>46146</v>
      </c>
      <c r="B615" s="65">
        <f>'⚙ Настройки'!$A$3</f>
        <v/>
      </c>
      <c r="C615" s="66" t="n">
        <v>6642</v>
      </c>
      <c r="D615" s="65" t="n">
        <v>35040</v>
      </c>
      <c r="E615" s="65" t="n">
        <v>589</v>
      </c>
      <c r="F615" s="65" t="n">
        <v>116</v>
      </c>
    </row>
    <row r="616">
      <c r="A616" s="64" t="n">
        <v>46146</v>
      </c>
      <c r="B616" s="65">
        <f>'⚙ Настройки'!$A$4</f>
        <v/>
      </c>
      <c r="C616" s="66" t="n">
        <v>8134</v>
      </c>
      <c r="D616" s="65" t="n">
        <v>36812</v>
      </c>
      <c r="E616" s="65" t="n">
        <v>724</v>
      </c>
      <c r="F616" s="65" t="n">
        <v>127</v>
      </c>
    </row>
    <row r="617">
      <c r="A617" s="64" t="n">
        <v>46147</v>
      </c>
      <c r="B617" s="65">
        <f>'⚙ Настройки'!$A$2</f>
        <v/>
      </c>
      <c r="C617" s="66" t="n">
        <v>2559</v>
      </c>
      <c r="D617" s="65" t="n">
        <v>12191</v>
      </c>
      <c r="E617" s="65" t="n">
        <v>240</v>
      </c>
      <c r="F617" s="65" t="n">
        <v>86</v>
      </c>
    </row>
    <row r="618">
      <c r="A618" s="64" t="n">
        <v>46147</v>
      </c>
      <c r="B618" s="65">
        <f>'⚙ Настройки'!$A$3</f>
        <v/>
      </c>
      <c r="C618" s="66" t="n">
        <v>5415</v>
      </c>
      <c r="D618" s="65" t="n">
        <v>22800</v>
      </c>
      <c r="E618" s="65" t="n">
        <v>357</v>
      </c>
      <c r="F618" s="65" t="n">
        <v>82</v>
      </c>
    </row>
    <row r="619">
      <c r="A619" s="64" t="n">
        <v>46147</v>
      </c>
      <c r="B619" s="65">
        <f>'⚙ Настройки'!$A$4</f>
        <v/>
      </c>
      <c r="C619" s="66" t="n">
        <v>7675</v>
      </c>
      <c r="D619" s="65" t="n">
        <v>40100</v>
      </c>
      <c r="E619" s="65" t="n">
        <v>691</v>
      </c>
      <c r="F619" s="65" t="n">
        <v>140</v>
      </c>
    </row>
    <row r="620">
      <c r="A620" s="64" t="n">
        <v>46148</v>
      </c>
      <c r="B620" s="65">
        <f>'⚙ Настройки'!$A$2</f>
        <v/>
      </c>
      <c r="C620" s="66" t="n">
        <v>2782</v>
      </c>
      <c r="D620" s="65" t="n">
        <v>13570</v>
      </c>
      <c r="E620" s="65" t="n">
        <v>257</v>
      </c>
      <c r="F620" s="65" t="n">
        <v>79</v>
      </c>
    </row>
    <row r="621">
      <c r="A621" s="64" t="n">
        <v>46148</v>
      </c>
      <c r="B621" s="65">
        <f>'⚙ Настройки'!$A$3</f>
        <v/>
      </c>
      <c r="C621" s="66" t="n">
        <v>5790</v>
      </c>
      <c r="D621" s="65" t="n">
        <v>29901</v>
      </c>
      <c r="E621" s="65" t="n">
        <v>527</v>
      </c>
      <c r="F621" s="65" t="n">
        <v>169</v>
      </c>
    </row>
    <row r="622">
      <c r="A622" s="64" t="n">
        <v>46148</v>
      </c>
      <c r="B622" s="65">
        <f>'⚙ Настройки'!$A$4</f>
        <v/>
      </c>
      <c r="C622" s="66" t="n">
        <v>7068</v>
      </c>
      <c r="D622" s="65" t="n">
        <v>31531</v>
      </c>
      <c r="E622" s="65" t="n">
        <v>572</v>
      </c>
      <c r="F622" s="65" t="n">
        <v>112</v>
      </c>
    </row>
    <row r="623">
      <c r="A623" s="64" t="n">
        <v>46149</v>
      </c>
      <c r="B623" s="65">
        <f>'⚙ Настройки'!$A$2</f>
        <v/>
      </c>
      <c r="C623" s="66" t="n">
        <v>3611</v>
      </c>
      <c r="D623" s="65" t="n">
        <v>15644</v>
      </c>
      <c r="E623" s="65" t="n">
        <v>302</v>
      </c>
      <c r="F623" s="65" t="n">
        <v>168</v>
      </c>
    </row>
    <row r="624">
      <c r="A624" s="64" t="n">
        <v>46149</v>
      </c>
      <c r="B624" s="65">
        <f>'⚙ Настройки'!$A$3</f>
        <v/>
      </c>
      <c r="C624" s="66" t="n">
        <v>6379</v>
      </c>
      <c r="D624" s="65" t="n">
        <v>32605</v>
      </c>
      <c r="E624" s="65" t="n">
        <v>691</v>
      </c>
      <c r="F624" s="65" t="n">
        <v>123</v>
      </c>
    </row>
    <row r="625">
      <c r="A625" s="64" t="n">
        <v>46149</v>
      </c>
      <c r="B625" s="65">
        <f>'⚙ Настройки'!$A$4</f>
        <v/>
      </c>
      <c r="C625" s="66" t="n">
        <v>7090</v>
      </c>
      <c r="D625" s="65" t="n">
        <v>31905</v>
      </c>
      <c r="E625" s="65" t="n">
        <v>497</v>
      </c>
      <c r="F625" s="65" t="n">
        <v>132</v>
      </c>
    </row>
    <row r="626">
      <c r="A626" s="64" t="n">
        <v>46150</v>
      </c>
      <c r="B626" s="65">
        <f>'⚙ Настройки'!$A$2</f>
        <v/>
      </c>
      <c r="C626" s="66" t="n">
        <v>3764</v>
      </c>
      <c r="D626" s="65" t="n">
        <v>19046</v>
      </c>
      <c r="E626" s="65" t="n">
        <v>353</v>
      </c>
      <c r="F626" s="65" t="n">
        <v>136</v>
      </c>
    </row>
    <row r="627">
      <c r="A627" s="64" t="n">
        <v>46150</v>
      </c>
      <c r="B627" s="65">
        <f>'⚙ Настройки'!$A$3</f>
        <v/>
      </c>
      <c r="C627" s="66" t="n">
        <v>5406</v>
      </c>
      <c r="D627" s="65" t="n">
        <v>27755</v>
      </c>
      <c r="E627" s="65" t="n">
        <v>524</v>
      </c>
      <c r="F627" s="65" t="n">
        <v>145</v>
      </c>
    </row>
    <row r="628">
      <c r="A628" s="64" t="n">
        <v>46150</v>
      </c>
      <c r="B628" s="65">
        <f>'⚙ Настройки'!$A$4</f>
        <v/>
      </c>
      <c r="C628" s="66" t="n">
        <v>8613</v>
      </c>
      <c r="D628" s="65" t="n">
        <v>38784</v>
      </c>
      <c r="E628" s="65" t="n">
        <v>845</v>
      </c>
      <c r="F628" s="65" t="n">
        <v>109</v>
      </c>
    </row>
    <row r="629">
      <c r="A629" s="64" t="n">
        <v>46151</v>
      </c>
      <c r="B629" s="65">
        <f>'⚙ Настройки'!$A$2</f>
        <v/>
      </c>
      <c r="C629" s="66" t="n">
        <v>2522</v>
      </c>
      <c r="D629" s="65" t="n">
        <v>13139</v>
      </c>
      <c r="E629" s="65" t="n">
        <v>210</v>
      </c>
      <c r="F629" s="65" t="n">
        <v>103</v>
      </c>
    </row>
    <row r="630">
      <c r="A630" s="64" t="n">
        <v>46151</v>
      </c>
      <c r="B630" s="65">
        <f>'⚙ Настройки'!$A$3</f>
        <v/>
      </c>
      <c r="C630" s="66" t="n">
        <v>4811</v>
      </c>
      <c r="D630" s="65" t="n">
        <v>25677</v>
      </c>
      <c r="E630" s="65" t="n">
        <v>465</v>
      </c>
      <c r="F630" s="65" t="n">
        <v>96</v>
      </c>
    </row>
    <row r="631">
      <c r="A631" s="64" t="n">
        <v>46151</v>
      </c>
      <c r="B631" s="65">
        <f>'⚙ Настройки'!$A$4</f>
        <v/>
      </c>
      <c r="C631" s="66" t="n">
        <v>7172</v>
      </c>
      <c r="D631" s="65" t="n">
        <v>30494</v>
      </c>
      <c r="E631" s="65" t="n">
        <v>603</v>
      </c>
      <c r="F631" s="65" t="n">
        <v>92</v>
      </c>
    </row>
    <row r="632">
      <c r="A632" s="64" t="n">
        <v>46152</v>
      </c>
      <c r="B632" s="65">
        <f>'⚙ Настройки'!$A$2</f>
        <v/>
      </c>
      <c r="C632" s="66" t="n">
        <v>1865</v>
      </c>
      <c r="D632" s="65" t="n">
        <v>8003</v>
      </c>
      <c r="E632" s="65" t="n">
        <v>149</v>
      </c>
      <c r="F632" s="65" t="n">
        <v>70</v>
      </c>
    </row>
    <row r="633">
      <c r="A633" s="64" t="n">
        <v>46152</v>
      </c>
      <c r="B633" s="65">
        <f>'⚙ Настройки'!$A$3</f>
        <v/>
      </c>
      <c r="C633" s="66" t="n">
        <v>3594</v>
      </c>
      <c r="D633" s="65" t="n">
        <v>15881</v>
      </c>
      <c r="E633" s="65" t="n">
        <v>271</v>
      </c>
      <c r="F633" s="65" t="n">
        <v>66</v>
      </c>
    </row>
    <row r="634">
      <c r="A634" s="64" t="n">
        <v>46152</v>
      </c>
      <c r="B634" s="65">
        <f>'⚙ Настройки'!$A$4</f>
        <v/>
      </c>
      <c r="C634" s="66" t="n">
        <v>4583</v>
      </c>
      <c r="D634" s="65" t="n">
        <v>23828</v>
      </c>
      <c r="E634" s="65" t="n">
        <v>336</v>
      </c>
      <c r="F634" s="65" t="n">
        <v>54</v>
      </c>
    </row>
    <row r="635">
      <c r="A635" s="64" t="n">
        <v>46153</v>
      </c>
      <c r="B635" s="65">
        <f>'⚙ Настройки'!$A$2</f>
        <v/>
      </c>
      <c r="C635" s="66" t="n">
        <v>3058</v>
      </c>
      <c r="D635" s="65" t="n">
        <v>12766</v>
      </c>
      <c r="E635" s="65" t="n">
        <v>231</v>
      </c>
      <c r="F635" s="65" t="n">
        <v>126</v>
      </c>
    </row>
    <row r="636">
      <c r="A636" s="64" t="n">
        <v>46153</v>
      </c>
      <c r="B636" s="65">
        <f>'⚙ Настройки'!$A$3</f>
        <v/>
      </c>
      <c r="C636" s="66" t="n">
        <v>6003</v>
      </c>
      <c r="D636" s="65" t="n">
        <v>30219</v>
      </c>
      <c r="E636" s="65" t="n">
        <v>517</v>
      </c>
      <c r="F636" s="65" t="n">
        <v>185</v>
      </c>
    </row>
    <row r="637">
      <c r="A637" s="64" t="n">
        <v>46153</v>
      </c>
      <c r="B637" s="65">
        <f>'⚙ Настройки'!$A$4</f>
        <v/>
      </c>
      <c r="C637" s="66" t="n">
        <v>9319</v>
      </c>
      <c r="D637" s="65" t="n">
        <v>42785</v>
      </c>
      <c r="E637" s="65" t="n">
        <v>689</v>
      </c>
      <c r="F637" s="65" t="n">
        <v>160</v>
      </c>
    </row>
    <row r="638">
      <c r="A638" s="64" t="n">
        <v>46154</v>
      </c>
      <c r="B638" s="65">
        <f>'⚙ Настройки'!$A$2</f>
        <v/>
      </c>
      <c r="C638" s="66" t="n">
        <v>3728</v>
      </c>
      <c r="D638" s="65" t="n">
        <v>17007</v>
      </c>
      <c r="E638" s="65" t="n">
        <v>373</v>
      </c>
      <c r="F638" s="65" t="n">
        <v>178</v>
      </c>
    </row>
    <row r="639">
      <c r="A639" s="64" t="n">
        <v>46154</v>
      </c>
      <c r="B639" s="65">
        <f>'⚙ Настройки'!$A$3</f>
        <v/>
      </c>
      <c r="C639" s="66" t="n">
        <v>4874</v>
      </c>
      <c r="D639" s="65" t="n">
        <v>21094</v>
      </c>
      <c r="E639" s="65" t="n">
        <v>349</v>
      </c>
      <c r="F639" s="65" t="n">
        <v>89</v>
      </c>
    </row>
    <row r="640">
      <c r="A640" s="64" t="n">
        <v>46154</v>
      </c>
      <c r="B640" s="65">
        <f>'⚙ Настройки'!$A$4</f>
        <v/>
      </c>
      <c r="C640" s="66" t="n">
        <v>6984</v>
      </c>
      <c r="D640" s="65" t="n">
        <v>32046</v>
      </c>
      <c r="E640" s="65" t="n">
        <v>703</v>
      </c>
      <c r="F640" s="65" t="n">
        <v>125</v>
      </c>
    </row>
    <row r="641">
      <c r="A641" s="64" t="n">
        <v>46155</v>
      </c>
      <c r="B641" s="65">
        <f>'⚙ Настройки'!$A$2</f>
        <v/>
      </c>
      <c r="C641" s="66" t="n">
        <v>3192</v>
      </c>
      <c r="D641" s="65" t="n">
        <v>13930</v>
      </c>
      <c r="E641" s="65" t="n">
        <v>289</v>
      </c>
      <c r="F641" s="65" t="n">
        <v>78</v>
      </c>
    </row>
    <row r="642">
      <c r="A642" s="64" t="n">
        <v>46155</v>
      </c>
      <c r="B642" s="65">
        <f>'⚙ Настройки'!$A$3</f>
        <v/>
      </c>
      <c r="C642" s="66" t="n">
        <v>4681</v>
      </c>
      <c r="D642" s="65" t="n">
        <v>21903</v>
      </c>
      <c r="E642" s="65" t="n">
        <v>370</v>
      </c>
      <c r="F642" s="65" t="n">
        <v>97</v>
      </c>
    </row>
    <row r="643">
      <c r="A643" s="64" t="n">
        <v>46155</v>
      </c>
      <c r="B643" s="65">
        <f>'⚙ Настройки'!$A$4</f>
        <v/>
      </c>
      <c r="C643" s="66" t="n">
        <v>6490</v>
      </c>
      <c r="D643" s="65" t="n">
        <v>34066</v>
      </c>
      <c r="E643" s="65" t="n">
        <v>574</v>
      </c>
      <c r="F643" s="65" t="n">
        <v>75</v>
      </c>
    </row>
    <row r="644">
      <c r="A644" s="64" t="n">
        <v>46156</v>
      </c>
      <c r="B644" s="65">
        <f>'⚙ Настройки'!$A$2</f>
        <v/>
      </c>
      <c r="C644" s="66" t="n">
        <v>2493</v>
      </c>
      <c r="D644" s="65" t="n">
        <v>12615</v>
      </c>
      <c r="E644" s="65" t="n">
        <v>189</v>
      </c>
      <c r="F644" s="65" t="n">
        <v>108</v>
      </c>
    </row>
    <row r="645">
      <c r="A645" s="64" t="n">
        <v>46156</v>
      </c>
      <c r="B645" s="65">
        <f>'⚙ Настройки'!$A$3</f>
        <v/>
      </c>
      <c r="C645" s="66" t="n">
        <v>5234</v>
      </c>
      <c r="D645" s="65" t="n">
        <v>28453</v>
      </c>
      <c r="E645" s="65" t="n">
        <v>469</v>
      </c>
      <c r="F645" s="65" t="n">
        <v>139</v>
      </c>
    </row>
    <row r="646">
      <c r="A646" s="64" t="n">
        <v>46156</v>
      </c>
      <c r="B646" s="65">
        <f>'⚙ Настройки'!$A$4</f>
        <v/>
      </c>
      <c r="C646" s="66" t="n">
        <v>9695</v>
      </c>
      <c r="D646" s="65" t="n">
        <v>46767</v>
      </c>
      <c r="E646" s="65" t="n">
        <v>693</v>
      </c>
      <c r="F646" s="65" t="n">
        <v>215</v>
      </c>
    </row>
    <row r="647">
      <c r="A647" s="64" t="n">
        <v>46157</v>
      </c>
      <c r="B647" s="65">
        <f>'⚙ Настройки'!$A$2</f>
        <v/>
      </c>
      <c r="C647" s="66" t="n">
        <v>4006</v>
      </c>
      <c r="D647" s="65" t="n">
        <v>18633</v>
      </c>
      <c r="E647" s="65" t="n">
        <v>400</v>
      </c>
      <c r="F647" s="65" t="n">
        <v>145</v>
      </c>
    </row>
    <row r="648">
      <c r="A648" s="64" t="n">
        <v>46157</v>
      </c>
      <c r="B648" s="65">
        <f>'⚙ Настройки'!$A$3</f>
        <v/>
      </c>
      <c r="C648" s="66" t="n">
        <v>4741</v>
      </c>
      <c r="D648" s="65" t="n">
        <v>21260</v>
      </c>
      <c r="E648" s="65" t="n">
        <v>346</v>
      </c>
      <c r="F648" s="65" t="n">
        <v>106</v>
      </c>
    </row>
    <row r="649">
      <c r="A649" s="64" t="n">
        <v>46157</v>
      </c>
      <c r="B649" s="65">
        <f>'⚙ Настройки'!$A$4</f>
        <v/>
      </c>
      <c r="C649" s="66" t="n">
        <v>6966</v>
      </c>
      <c r="D649" s="65" t="n">
        <v>30735</v>
      </c>
      <c r="E649" s="65" t="n">
        <v>546</v>
      </c>
      <c r="F649" s="65" t="n">
        <v>76</v>
      </c>
    </row>
    <row r="650">
      <c r="A650" s="64" t="n">
        <v>46158</v>
      </c>
      <c r="B650" s="65">
        <f>'⚙ Настройки'!$A$2</f>
        <v/>
      </c>
      <c r="C650" s="66" t="n">
        <v>2686</v>
      </c>
      <c r="D650" s="65" t="n">
        <v>12979</v>
      </c>
      <c r="E650" s="65" t="n">
        <v>209</v>
      </c>
      <c r="F650" s="65" t="n">
        <v>72</v>
      </c>
    </row>
    <row r="651">
      <c r="A651" s="64" t="n">
        <v>46158</v>
      </c>
      <c r="B651" s="65">
        <f>'⚙ Настройки'!$A$3</f>
        <v/>
      </c>
      <c r="C651" s="66" t="n">
        <v>4922</v>
      </c>
      <c r="D651" s="65" t="n">
        <v>21731</v>
      </c>
      <c r="E651" s="65" t="n">
        <v>458</v>
      </c>
      <c r="F651" s="65" t="n">
        <v>79</v>
      </c>
    </row>
    <row r="652">
      <c r="A652" s="64" t="n">
        <v>46158</v>
      </c>
      <c r="B652" s="65">
        <f>'⚙ Настройки'!$A$4</f>
        <v/>
      </c>
      <c r="C652" s="66" t="n">
        <v>7118</v>
      </c>
      <c r="D652" s="65" t="n">
        <v>31262</v>
      </c>
      <c r="E652" s="65" t="n">
        <v>557</v>
      </c>
      <c r="F652" s="65" t="n">
        <v>86</v>
      </c>
    </row>
    <row r="653">
      <c r="A653" s="64" t="n">
        <v>46159</v>
      </c>
      <c r="B653" s="65">
        <f>'⚙ Настройки'!$A$2</f>
        <v/>
      </c>
      <c r="C653" s="66" t="n">
        <v>2779</v>
      </c>
      <c r="D653" s="65" t="n">
        <v>14913</v>
      </c>
      <c r="E653" s="65" t="n">
        <v>280</v>
      </c>
      <c r="F653" s="65" t="n">
        <v>83</v>
      </c>
    </row>
    <row r="654">
      <c r="A654" s="64" t="n">
        <v>46159</v>
      </c>
      <c r="B654" s="65">
        <f>'⚙ Настройки'!$A$3</f>
        <v/>
      </c>
      <c r="C654" s="66" t="n">
        <v>3338</v>
      </c>
      <c r="D654" s="65" t="n">
        <v>16979</v>
      </c>
      <c r="E654" s="65" t="n">
        <v>242</v>
      </c>
      <c r="F654" s="65" t="n">
        <v>60</v>
      </c>
    </row>
    <row r="655">
      <c r="A655" s="64" t="n">
        <v>46159</v>
      </c>
      <c r="B655" s="65">
        <f>'⚙ Настройки'!$A$4</f>
        <v/>
      </c>
      <c r="C655" s="66" t="n">
        <v>4811</v>
      </c>
      <c r="D655" s="65" t="n">
        <v>25792</v>
      </c>
      <c r="E655" s="65" t="n">
        <v>477</v>
      </c>
      <c r="F655" s="65" t="n">
        <v>73</v>
      </c>
    </row>
    <row r="656">
      <c r="A656" s="64" t="n">
        <v>46160</v>
      </c>
      <c r="B656" s="65">
        <f>'⚙ Настройки'!$A$2</f>
        <v/>
      </c>
      <c r="C656" s="66" t="n">
        <v>2791</v>
      </c>
      <c r="D656" s="65" t="n">
        <v>13808</v>
      </c>
      <c r="E656" s="65" t="n">
        <v>209</v>
      </c>
      <c r="F656" s="65" t="n">
        <v>119</v>
      </c>
    </row>
    <row r="657">
      <c r="A657" s="64" t="n">
        <v>46160</v>
      </c>
      <c r="B657" s="65">
        <f>'⚙ Настройки'!$A$3</f>
        <v/>
      </c>
      <c r="C657" s="66" t="n">
        <v>6329</v>
      </c>
      <c r="D657" s="65" t="n">
        <v>31474</v>
      </c>
      <c r="E657" s="65" t="n">
        <v>545</v>
      </c>
      <c r="F657" s="65" t="n">
        <v>116</v>
      </c>
    </row>
    <row r="658">
      <c r="A658" s="64" t="n">
        <v>46160</v>
      </c>
      <c r="B658" s="65">
        <f>'⚙ Настройки'!$A$4</f>
        <v/>
      </c>
      <c r="C658" s="66" t="n">
        <v>7222</v>
      </c>
      <c r="D658" s="65" t="n">
        <v>37014</v>
      </c>
      <c r="E658" s="65" t="n">
        <v>524</v>
      </c>
      <c r="F658" s="65" t="n">
        <v>83</v>
      </c>
    </row>
    <row r="659">
      <c r="A659" s="64" t="n">
        <v>46161</v>
      </c>
      <c r="B659" s="65">
        <f>'⚙ Настройки'!$A$2</f>
        <v/>
      </c>
      <c r="C659" s="66" t="n">
        <v>2855</v>
      </c>
      <c r="D659" s="65" t="n">
        <v>13220</v>
      </c>
      <c r="E659" s="65" t="n">
        <v>254</v>
      </c>
      <c r="F659" s="65" t="n">
        <v>122</v>
      </c>
    </row>
    <row r="660">
      <c r="A660" s="64" t="n">
        <v>46161</v>
      </c>
      <c r="B660" s="65">
        <f>'⚙ Настройки'!$A$3</f>
        <v/>
      </c>
      <c r="C660" s="66" t="n">
        <v>6440</v>
      </c>
      <c r="D660" s="65" t="n">
        <v>33042</v>
      </c>
      <c r="E660" s="65" t="n">
        <v>686</v>
      </c>
      <c r="F660" s="65" t="n">
        <v>151</v>
      </c>
    </row>
    <row r="661">
      <c r="A661" s="64" t="n">
        <v>46161</v>
      </c>
      <c r="B661" s="65">
        <f>'⚙ Настройки'!$A$4</f>
        <v/>
      </c>
      <c r="C661" s="66" t="n">
        <v>9348</v>
      </c>
      <c r="D661" s="65" t="n">
        <v>39490</v>
      </c>
      <c r="E661" s="65" t="n">
        <v>863</v>
      </c>
      <c r="F661" s="65" t="n">
        <v>150</v>
      </c>
    </row>
    <row r="662">
      <c r="A662" s="64" t="n">
        <v>46162</v>
      </c>
      <c r="B662" s="65">
        <f>'⚙ Настройки'!$A$2</f>
        <v/>
      </c>
      <c r="C662" s="66" t="n">
        <v>2461</v>
      </c>
      <c r="D662" s="65" t="n">
        <v>12328</v>
      </c>
      <c r="E662" s="65" t="n">
        <v>239</v>
      </c>
      <c r="F662" s="65" t="n">
        <v>107</v>
      </c>
    </row>
    <row r="663">
      <c r="A663" s="64" t="n">
        <v>46162</v>
      </c>
      <c r="B663" s="65">
        <f>'⚙ Настройки'!$A$3</f>
        <v/>
      </c>
      <c r="C663" s="66" t="n">
        <v>6240</v>
      </c>
      <c r="D663" s="65" t="n">
        <v>32687</v>
      </c>
      <c r="E663" s="65" t="n">
        <v>488</v>
      </c>
      <c r="F663" s="65" t="n">
        <v>97</v>
      </c>
    </row>
    <row r="664">
      <c r="A664" s="64" t="n">
        <v>46162</v>
      </c>
      <c r="B664" s="65">
        <f>'⚙ Настройки'!$A$4</f>
        <v/>
      </c>
      <c r="C664" s="66" t="n">
        <v>9452</v>
      </c>
      <c r="D664" s="65" t="n">
        <v>46550</v>
      </c>
      <c r="E664" s="65" t="n">
        <v>954</v>
      </c>
      <c r="F664" s="65" t="n">
        <v>113</v>
      </c>
    </row>
    <row r="665">
      <c r="A665" s="64" t="n">
        <v>46163</v>
      </c>
      <c r="B665" s="65">
        <f>'⚙ Настройки'!$A$2</f>
        <v/>
      </c>
      <c r="C665" s="66" t="n">
        <v>2954</v>
      </c>
      <c r="D665" s="65" t="n">
        <v>15369</v>
      </c>
      <c r="E665" s="65" t="n">
        <v>313</v>
      </c>
      <c r="F665" s="65" t="n">
        <v>93</v>
      </c>
    </row>
    <row r="666">
      <c r="A666" s="64" t="n">
        <v>46163</v>
      </c>
      <c r="B666" s="65">
        <f>'⚙ Настройки'!$A$3</f>
        <v/>
      </c>
      <c r="C666" s="66" t="n">
        <v>6555</v>
      </c>
      <c r="D666" s="65" t="n">
        <v>29427</v>
      </c>
      <c r="E666" s="65" t="n">
        <v>422</v>
      </c>
      <c r="F666" s="65" t="n">
        <v>215</v>
      </c>
    </row>
    <row r="667">
      <c r="A667" s="64" t="n">
        <v>46163</v>
      </c>
      <c r="B667" s="65">
        <f>'⚙ Настройки'!$A$4</f>
        <v/>
      </c>
      <c r="C667" s="66" t="n">
        <v>6925</v>
      </c>
      <c r="D667" s="65" t="n">
        <v>38308</v>
      </c>
      <c r="E667" s="65" t="n">
        <v>602</v>
      </c>
      <c r="F667" s="65" t="n">
        <v>99</v>
      </c>
    </row>
    <row r="668">
      <c r="A668" s="64" t="n">
        <v>46164</v>
      </c>
      <c r="B668" s="65">
        <f>'⚙ Настройки'!$A$2</f>
        <v/>
      </c>
      <c r="C668" s="66" t="n">
        <v>2551</v>
      </c>
      <c r="D668" s="65" t="n">
        <v>13709</v>
      </c>
      <c r="E668" s="65" t="n">
        <v>235</v>
      </c>
      <c r="F668" s="65" t="n">
        <v>80</v>
      </c>
    </row>
    <row r="669">
      <c r="A669" s="64" t="n">
        <v>46164</v>
      </c>
      <c r="B669" s="65">
        <f>'⚙ Настройки'!$A$3</f>
        <v/>
      </c>
      <c r="C669" s="66" t="n">
        <v>4882</v>
      </c>
      <c r="D669" s="65" t="n">
        <v>25442</v>
      </c>
      <c r="E669" s="65" t="n">
        <v>418</v>
      </c>
      <c r="F669" s="65" t="n">
        <v>112</v>
      </c>
    </row>
    <row r="670">
      <c r="A670" s="64" t="n">
        <v>46164</v>
      </c>
      <c r="B670" s="65">
        <f>'⚙ Настройки'!$A$4</f>
        <v/>
      </c>
      <c r="C670" s="66" t="n">
        <v>7972</v>
      </c>
      <c r="D670" s="65" t="n">
        <v>44155</v>
      </c>
      <c r="E670" s="65" t="n">
        <v>911</v>
      </c>
      <c r="F670" s="65" t="n">
        <v>99</v>
      </c>
    </row>
    <row r="671">
      <c r="A671" s="64" t="n">
        <v>46165</v>
      </c>
      <c r="B671" s="65">
        <f>'⚙ Настройки'!$A$2</f>
        <v/>
      </c>
      <c r="C671" s="66" t="n">
        <v>2446</v>
      </c>
      <c r="D671" s="65" t="n">
        <v>13188</v>
      </c>
      <c r="E671" s="65" t="n">
        <v>202</v>
      </c>
      <c r="F671" s="65" t="n">
        <v>69</v>
      </c>
    </row>
    <row r="672">
      <c r="A672" s="64" t="n">
        <v>46165</v>
      </c>
      <c r="B672" s="65">
        <f>'⚙ Настройки'!$A$3</f>
        <v/>
      </c>
      <c r="C672" s="66" t="n">
        <v>3168</v>
      </c>
      <c r="D672" s="65" t="n">
        <v>15947</v>
      </c>
      <c r="E672" s="65" t="n">
        <v>305</v>
      </c>
      <c r="F672" s="65" t="n">
        <v>89</v>
      </c>
    </row>
    <row r="673">
      <c r="A673" s="64" t="n">
        <v>46165</v>
      </c>
      <c r="B673" s="65">
        <f>'⚙ Настройки'!$A$4</f>
        <v/>
      </c>
      <c r="C673" s="66" t="n">
        <v>5838</v>
      </c>
      <c r="D673" s="65" t="n">
        <v>31972</v>
      </c>
      <c r="E673" s="65" t="n">
        <v>675</v>
      </c>
      <c r="F673" s="65" t="n">
        <v>87</v>
      </c>
    </row>
    <row r="674">
      <c r="A674" s="64" t="n">
        <v>46166</v>
      </c>
      <c r="B674" s="65">
        <f>'⚙ Настройки'!$A$2</f>
        <v/>
      </c>
      <c r="C674" s="66" t="n">
        <v>2186</v>
      </c>
      <c r="D674" s="65" t="n">
        <v>11097</v>
      </c>
      <c r="E674" s="65" t="n">
        <v>183</v>
      </c>
      <c r="F674" s="65" t="n">
        <v>52</v>
      </c>
    </row>
    <row r="675">
      <c r="A675" s="64" t="n">
        <v>46166</v>
      </c>
      <c r="B675" s="65">
        <f>'⚙ Настройки'!$A$3</f>
        <v/>
      </c>
      <c r="C675" s="66" t="n">
        <v>4820</v>
      </c>
      <c r="D675" s="65" t="n">
        <v>22501</v>
      </c>
      <c r="E675" s="65" t="n">
        <v>444</v>
      </c>
      <c r="F675" s="65" t="n">
        <v>125</v>
      </c>
    </row>
    <row r="676">
      <c r="A676" s="64" t="n">
        <v>46166</v>
      </c>
      <c r="B676" s="65">
        <f>'⚙ Настройки'!$A$4</f>
        <v/>
      </c>
      <c r="C676" s="66" t="n">
        <v>4676</v>
      </c>
      <c r="D676" s="65" t="n">
        <v>23450</v>
      </c>
      <c r="E676" s="65" t="n">
        <v>445</v>
      </c>
      <c r="F676" s="65" t="n">
        <v>55</v>
      </c>
    </row>
    <row r="677">
      <c r="A677" s="64" t="n">
        <v>46167</v>
      </c>
      <c r="B677" s="65">
        <f>'⚙ Настройки'!$A$2</f>
        <v/>
      </c>
      <c r="C677" s="66" t="n">
        <v>2967</v>
      </c>
      <c r="D677" s="65" t="n">
        <v>13865</v>
      </c>
      <c r="E677" s="65" t="n">
        <v>234</v>
      </c>
      <c r="F677" s="65" t="n">
        <v>104</v>
      </c>
    </row>
    <row r="678">
      <c r="A678" s="64" t="n">
        <v>46167</v>
      </c>
      <c r="B678" s="65">
        <f>'⚙ Настройки'!$A$3</f>
        <v/>
      </c>
      <c r="C678" s="66" t="n">
        <v>5701</v>
      </c>
      <c r="D678" s="65" t="n">
        <v>25789</v>
      </c>
      <c r="E678" s="65" t="n">
        <v>433</v>
      </c>
      <c r="F678" s="65" t="n">
        <v>197</v>
      </c>
    </row>
    <row r="679">
      <c r="A679" s="64" t="n">
        <v>46167</v>
      </c>
      <c r="B679" s="65">
        <f>'⚙ Настройки'!$A$4</f>
        <v/>
      </c>
      <c r="C679" s="66" t="n">
        <v>8446</v>
      </c>
      <c r="D679" s="65" t="n">
        <v>38678</v>
      </c>
      <c r="E679" s="65" t="n">
        <v>605</v>
      </c>
      <c r="F679" s="65" t="n">
        <v>162</v>
      </c>
    </row>
    <row r="680">
      <c r="A680" s="64" t="n">
        <v>46168</v>
      </c>
      <c r="B680" s="65">
        <f>'⚙ Настройки'!$A$2</f>
        <v/>
      </c>
      <c r="C680" s="66" t="n">
        <v>3874</v>
      </c>
      <c r="D680" s="65" t="n">
        <v>16155</v>
      </c>
      <c r="E680" s="65" t="n">
        <v>273</v>
      </c>
      <c r="F680" s="65" t="n">
        <v>167</v>
      </c>
    </row>
    <row r="681">
      <c r="A681" s="64" t="n">
        <v>46168</v>
      </c>
      <c r="B681" s="65">
        <f>'⚙ Настройки'!$A$3</f>
        <v/>
      </c>
      <c r="C681" s="66" t="n">
        <v>6885</v>
      </c>
      <c r="D681" s="65" t="n">
        <v>30385</v>
      </c>
      <c r="E681" s="65" t="n">
        <v>495</v>
      </c>
      <c r="F681" s="65" t="n">
        <v>226</v>
      </c>
    </row>
    <row r="682">
      <c r="A682" s="64" t="n">
        <v>46168</v>
      </c>
      <c r="B682" s="65">
        <f>'⚙ Настройки'!$A$4</f>
        <v/>
      </c>
      <c r="C682" s="66" t="n">
        <v>10250</v>
      </c>
      <c r="D682" s="65" t="n">
        <v>50503</v>
      </c>
      <c r="E682" s="65" t="n">
        <v>749</v>
      </c>
      <c r="F682" s="65" t="n">
        <v>146</v>
      </c>
    </row>
    <row r="683">
      <c r="A683" s="64" t="n">
        <v>46169</v>
      </c>
      <c r="B683" s="65">
        <f>'⚙ Настройки'!$A$2</f>
        <v/>
      </c>
      <c r="C683" s="66" t="n">
        <v>3655</v>
      </c>
      <c r="D683" s="65" t="n">
        <v>19015</v>
      </c>
      <c r="E683" s="65" t="n">
        <v>267</v>
      </c>
      <c r="F683" s="65" t="n">
        <v>91</v>
      </c>
    </row>
    <row r="684">
      <c r="A684" s="64" t="n">
        <v>46169</v>
      </c>
      <c r="B684" s="65">
        <f>'⚙ Настройки'!$A$3</f>
        <v/>
      </c>
      <c r="C684" s="66" t="n">
        <v>6951</v>
      </c>
      <c r="D684" s="65" t="n">
        <v>32115</v>
      </c>
      <c r="E684" s="65" t="n">
        <v>462</v>
      </c>
      <c r="F684" s="65" t="n">
        <v>182</v>
      </c>
    </row>
    <row r="685">
      <c r="A685" s="64" t="n">
        <v>46169</v>
      </c>
      <c r="B685" s="65">
        <f>'⚙ Настройки'!$A$4</f>
        <v/>
      </c>
      <c r="C685" s="66" t="n">
        <v>6936</v>
      </c>
      <c r="D685" s="65" t="n">
        <v>36126</v>
      </c>
      <c r="E685" s="65" t="n">
        <v>638</v>
      </c>
      <c r="F685" s="65" t="n">
        <v>99</v>
      </c>
    </row>
    <row r="686">
      <c r="A686" s="64" t="n">
        <v>46170</v>
      </c>
      <c r="B686" s="65">
        <f>'⚙ Настройки'!$A$2</f>
        <v/>
      </c>
      <c r="C686" s="66" t="n">
        <v>3159</v>
      </c>
      <c r="D686" s="65" t="n">
        <v>13781</v>
      </c>
      <c r="E686" s="65" t="n">
        <v>238</v>
      </c>
      <c r="F686" s="65" t="n">
        <v>79</v>
      </c>
    </row>
    <row r="687">
      <c r="A687" s="64" t="n">
        <v>46170</v>
      </c>
      <c r="B687" s="65">
        <f>'⚙ Настройки'!$A$3</f>
        <v/>
      </c>
      <c r="C687" s="66" t="n">
        <v>4762</v>
      </c>
      <c r="D687" s="65" t="n">
        <v>20933</v>
      </c>
      <c r="E687" s="65" t="n">
        <v>328</v>
      </c>
      <c r="F687" s="65" t="n">
        <v>75</v>
      </c>
    </row>
    <row r="688">
      <c r="A688" s="64" t="n">
        <v>46170</v>
      </c>
      <c r="B688" s="65">
        <f>'⚙ Настройки'!$A$4</f>
        <v/>
      </c>
      <c r="C688" s="66" t="n">
        <v>9121</v>
      </c>
      <c r="D688" s="65" t="n">
        <v>41008</v>
      </c>
      <c r="E688" s="65" t="n">
        <v>718</v>
      </c>
      <c r="F688" s="65" t="n">
        <v>213</v>
      </c>
    </row>
    <row r="689">
      <c r="A689" s="64" t="n">
        <v>46171</v>
      </c>
      <c r="B689" s="65">
        <f>'⚙ Настройки'!$A$2</f>
        <v/>
      </c>
      <c r="C689" s="66" t="n">
        <v>3223</v>
      </c>
      <c r="D689" s="65" t="n">
        <v>16985</v>
      </c>
      <c r="E689" s="65" t="n">
        <v>240</v>
      </c>
      <c r="F689" s="65" t="n">
        <v>101</v>
      </c>
    </row>
    <row r="690">
      <c r="A690" s="64" t="n">
        <v>46171</v>
      </c>
      <c r="B690" s="65">
        <f>'⚙ Настройки'!$A$3</f>
        <v/>
      </c>
      <c r="C690" s="66" t="n">
        <v>6656</v>
      </c>
      <c r="D690" s="65" t="n">
        <v>35946</v>
      </c>
      <c r="E690" s="65" t="n">
        <v>703</v>
      </c>
      <c r="F690" s="65" t="n">
        <v>152</v>
      </c>
    </row>
    <row r="691">
      <c r="A691" s="64" t="n">
        <v>46171</v>
      </c>
      <c r="B691" s="65">
        <f>'⚙ Настройки'!$A$4</f>
        <v/>
      </c>
      <c r="C691" s="66" t="n">
        <v>9507</v>
      </c>
      <c r="D691" s="65" t="n">
        <v>51887</v>
      </c>
      <c r="E691" s="65" t="n">
        <v>922</v>
      </c>
      <c r="F691" s="65" t="n">
        <v>158</v>
      </c>
    </row>
    <row r="692">
      <c r="A692" s="64" t="n">
        <v>46172</v>
      </c>
      <c r="B692" s="65">
        <f>'⚙ Настройки'!$A$2</f>
        <v/>
      </c>
      <c r="C692" s="66" t="n">
        <v>2466</v>
      </c>
      <c r="D692" s="65" t="n">
        <v>10512</v>
      </c>
      <c r="E692" s="65" t="n">
        <v>155</v>
      </c>
      <c r="F692" s="65" t="n">
        <v>74</v>
      </c>
    </row>
    <row r="693">
      <c r="A693" s="64" t="n">
        <v>46172</v>
      </c>
      <c r="B693" s="65">
        <f>'⚙ Настройки'!$A$3</f>
        <v/>
      </c>
      <c r="C693" s="66" t="n">
        <v>4660</v>
      </c>
      <c r="D693" s="65" t="n">
        <v>20285</v>
      </c>
      <c r="E693" s="65" t="n">
        <v>330</v>
      </c>
      <c r="F693" s="65" t="n">
        <v>145</v>
      </c>
    </row>
    <row r="694">
      <c r="A694" s="64" t="n">
        <v>46172</v>
      </c>
      <c r="B694" s="65">
        <f>'⚙ Настройки'!$A$4</f>
        <v/>
      </c>
      <c r="C694" s="66" t="n">
        <v>6508</v>
      </c>
      <c r="D694" s="65" t="n">
        <v>29207</v>
      </c>
      <c r="E694" s="65" t="n">
        <v>465</v>
      </c>
      <c r="F694" s="65" t="n">
        <v>89</v>
      </c>
    </row>
    <row r="695">
      <c r="A695" s="64" t="n">
        <v>46173</v>
      </c>
      <c r="B695" s="65">
        <f>'⚙ Настройки'!$A$2</f>
        <v/>
      </c>
      <c r="C695" s="66" t="n">
        <v>2157</v>
      </c>
      <c r="D695" s="65" t="n">
        <v>10258</v>
      </c>
      <c r="E695" s="65" t="n">
        <v>156</v>
      </c>
      <c r="F695" s="65" t="n">
        <v>86</v>
      </c>
    </row>
    <row r="696">
      <c r="A696" s="64" t="n">
        <v>46173</v>
      </c>
      <c r="B696" s="65">
        <f>'⚙ Настройки'!$A$3</f>
        <v/>
      </c>
      <c r="C696" s="66" t="n">
        <v>5078</v>
      </c>
      <c r="D696" s="65" t="n">
        <v>24718</v>
      </c>
      <c r="E696" s="65" t="n">
        <v>530</v>
      </c>
      <c r="F696" s="65" t="n">
        <v>92</v>
      </c>
    </row>
    <row r="697">
      <c r="A697" s="64" t="n">
        <v>46173</v>
      </c>
      <c r="B697" s="65">
        <f>'⚙ Настройки'!$A$4</f>
        <v/>
      </c>
      <c r="C697" s="66" t="n">
        <v>6572</v>
      </c>
      <c r="D697" s="65" t="n">
        <v>31550</v>
      </c>
      <c r="E697" s="65" t="n">
        <v>477</v>
      </c>
      <c r="F697" s="65" t="n">
        <v>76</v>
      </c>
    </row>
    <row r="698">
      <c r="A698" s="64" t="n">
        <v>46174</v>
      </c>
      <c r="B698" s="65">
        <f>'⚙ Настройки'!$A$2</f>
        <v/>
      </c>
      <c r="C698" s="66" t="n">
        <v>3333</v>
      </c>
      <c r="D698" s="65" t="n">
        <v>14151</v>
      </c>
      <c r="E698" s="65" t="n">
        <v>210</v>
      </c>
      <c r="F698" s="65" t="n">
        <v>110</v>
      </c>
    </row>
    <row r="699">
      <c r="A699" s="64" t="n">
        <v>46174</v>
      </c>
      <c r="B699" s="65">
        <f>'⚙ Настройки'!$A$3</f>
        <v/>
      </c>
      <c r="C699" s="66" t="n">
        <v>6645</v>
      </c>
      <c r="D699" s="65" t="n">
        <v>28917</v>
      </c>
      <c r="E699" s="65" t="n">
        <v>550</v>
      </c>
      <c r="F699" s="65" t="n">
        <v>144</v>
      </c>
    </row>
    <row r="700">
      <c r="A700" s="64" t="n">
        <v>46174</v>
      </c>
      <c r="B700" s="65">
        <f>'⚙ Настройки'!$A$4</f>
        <v/>
      </c>
      <c r="C700" s="66" t="n">
        <v>8999</v>
      </c>
      <c r="D700" s="65" t="n">
        <v>48970</v>
      </c>
      <c r="E700" s="65" t="n">
        <v>779</v>
      </c>
      <c r="F700" s="65" t="n">
        <v>99</v>
      </c>
    </row>
    <row r="701">
      <c r="A701" s="64" t="n">
        <v>46175</v>
      </c>
      <c r="B701" s="65">
        <f>'⚙ Настройки'!$A$2</f>
        <v/>
      </c>
      <c r="C701" s="66" t="n">
        <v>3805</v>
      </c>
      <c r="D701" s="65" t="n">
        <v>15987</v>
      </c>
      <c r="E701" s="65" t="n">
        <v>249</v>
      </c>
      <c r="F701" s="65" t="n">
        <v>178</v>
      </c>
    </row>
    <row r="702">
      <c r="A702" s="64" t="n">
        <v>46175</v>
      </c>
      <c r="B702" s="65">
        <f>'⚙ Настройки'!$A$3</f>
        <v/>
      </c>
      <c r="C702" s="66" t="n">
        <v>4618</v>
      </c>
      <c r="D702" s="65" t="n">
        <v>20812</v>
      </c>
      <c r="E702" s="65" t="n">
        <v>363</v>
      </c>
      <c r="F702" s="65" t="n">
        <v>96</v>
      </c>
    </row>
    <row r="703">
      <c r="A703" s="64" t="n">
        <v>46175</v>
      </c>
      <c r="B703" s="65">
        <f>'⚙ Настройки'!$A$4</f>
        <v/>
      </c>
      <c r="C703" s="66" t="n">
        <v>7419</v>
      </c>
      <c r="D703" s="65" t="n">
        <v>36450</v>
      </c>
      <c r="E703" s="65" t="n">
        <v>740</v>
      </c>
      <c r="F703" s="65" t="n">
        <v>90</v>
      </c>
    </row>
    <row r="704">
      <c r="A704" s="64" t="n">
        <v>46176</v>
      </c>
      <c r="B704" s="65">
        <f>'⚙ Настройки'!$A$2</f>
        <v/>
      </c>
      <c r="C704" s="66" t="n">
        <v>4037</v>
      </c>
      <c r="D704" s="65" t="n">
        <v>16924</v>
      </c>
      <c r="E704" s="65" t="n">
        <v>302</v>
      </c>
      <c r="F704" s="65" t="n">
        <v>206</v>
      </c>
    </row>
    <row r="705">
      <c r="A705" s="64" t="n">
        <v>46176</v>
      </c>
      <c r="B705" s="65">
        <f>'⚙ Настройки'!$A$3</f>
        <v/>
      </c>
      <c r="C705" s="66" t="n">
        <v>7222</v>
      </c>
      <c r="D705" s="65" t="n">
        <v>38485</v>
      </c>
      <c r="E705" s="65" t="n">
        <v>773</v>
      </c>
      <c r="F705" s="65" t="n">
        <v>238</v>
      </c>
    </row>
    <row r="706">
      <c r="A706" s="64" t="n">
        <v>46176</v>
      </c>
      <c r="B706" s="65">
        <f>'⚙ Настройки'!$A$4</f>
        <v/>
      </c>
      <c r="C706" s="66" t="n">
        <v>9168</v>
      </c>
      <c r="D706" s="65" t="n">
        <v>40838</v>
      </c>
      <c r="E706" s="65" t="n">
        <v>584</v>
      </c>
      <c r="F706" s="65" t="n">
        <v>208</v>
      </c>
    </row>
    <row r="707">
      <c r="A707" s="64" t="n">
        <v>46177</v>
      </c>
      <c r="B707" s="65">
        <f>'⚙ Настройки'!$A$2</f>
        <v/>
      </c>
      <c r="C707" s="66" t="n">
        <v>4013</v>
      </c>
      <c r="D707" s="65" t="n">
        <v>19742</v>
      </c>
      <c r="E707" s="65" t="n">
        <v>419</v>
      </c>
      <c r="F707" s="65" t="n">
        <v>120</v>
      </c>
    </row>
    <row r="708">
      <c r="A708" s="64" t="n">
        <v>46177</v>
      </c>
      <c r="B708" s="65">
        <f>'⚙ Настройки'!$A$3</f>
        <v/>
      </c>
      <c r="C708" s="66" t="n">
        <v>6558</v>
      </c>
      <c r="D708" s="65" t="n">
        <v>28720</v>
      </c>
      <c r="E708" s="65" t="n">
        <v>462</v>
      </c>
      <c r="F708" s="65" t="n">
        <v>132</v>
      </c>
    </row>
    <row r="709">
      <c r="A709" s="64" t="n">
        <v>46177</v>
      </c>
      <c r="B709" s="65">
        <f>'⚙ Настройки'!$A$4</f>
        <v/>
      </c>
      <c r="C709" s="66" t="n">
        <v>10649</v>
      </c>
      <c r="D709" s="65" t="n">
        <v>46673</v>
      </c>
      <c r="E709" s="65" t="n">
        <v>668</v>
      </c>
      <c r="F709" s="65" t="n">
        <v>256</v>
      </c>
    </row>
    <row r="710">
      <c r="A710" s="64" t="n">
        <v>46178</v>
      </c>
      <c r="B710" s="65">
        <f>'⚙ Настройки'!$A$2</f>
        <v/>
      </c>
      <c r="C710" s="66" t="n">
        <v>3849</v>
      </c>
      <c r="D710" s="65" t="n">
        <v>20299</v>
      </c>
      <c r="E710" s="65" t="n">
        <v>412</v>
      </c>
      <c r="F710" s="65" t="n">
        <v>163</v>
      </c>
    </row>
    <row r="711">
      <c r="A711" s="64" t="n">
        <v>46178</v>
      </c>
      <c r="B711" s="65">
        <f>'⚙ Настройки'!$A$3</f>
        <v/>
      </c>
      <c r="C711" s="66" t="n">
        <v>7360</v>
      </c>
      <c r="D711" s="65" t="n">
        <v>33723</v>
      </c>
      <c r="E711" s="65" t="n">
        <v>619</v>
      </c>
      <c r="F711" s="65" t="n">
        <v>193</v>
      </c>
    </row>
    <row r="712">
      <c r="A712" s="64" t="n">
        <v>46178</v>
      </c>
      <c r="B712" s="65">
        <f>'⚙ Настройки'!$A$4</f>
        <v/>
      </c>
      <c r="C712" s="66" t="n">
        <v>7493</v>
      </c>
      <c r="D712" s="65" t="n">
        <v>31771</v>
      </c>
      <c r="E712" s="65" t="n">
        <v>501</v>
      </c>
      <c r="F712" s="65" t="n">
        <v>101</v>
      </c>
    </row>
    <row r="713">
      <c r="A713" s="64" t="n">
        <v>46179</v>
      </c>
      <c r="B713" s="65">
        <f>'⚙ Настройки'!$A$2</f>
        <v/>
      </c>
      <c r="C713" s="66" t="n">
        <v>2210</v>
      </c>
      <c r="D713" s="65" t="n">
        <v>9576</v>
      </c>
      <c r="E713" s="65" t="n">
        <v>198</v>
      </c>
      <c r="F713" s="65" t="n">
        <v>97</v>
      </c>
    </row>
    <row r="714">
      <c r="A714" s="64" t="n">
        <v>46179</v>
      </c>
      <c r="B714" s="65">
        <f>'⚙ Настройки'!$A$3</f>
        <v/>
      </c>
      <c r="C714" s="66" t="n">
        <v>3257</v>
      </c>
      <c r="D714" s="65" t="n">
        <v>16166</v>
      </c>
      <c r="E714" s="65" t="n">
        <v>280</v>
      </c>
      <c r="F714" s="65" t="n">
        <v>90</v>
      </c>
    </row>
    <row r="715">
      <c r="A715" s="64" t="n">
        <v>46179</v>
      </c>
      <c r="B715" s="65">
        <f>'⚙ Настройки'!$A$4</f>
        <v/>
      </c>
      <c r="C715" s="66" t="n">
        <v>7332</v>
      </c>
      <c r="D715" s="65" t="n">
        <v>33584</v>
      </c>
      <c r="E715" s="65" t="n">
        <v>717</v>
      </c>
      <c r="F715" s="65" t="n">
        <v>139</v>
      </c>
    </row>
    <row r="716">
      <c r="A716" s="64" t="n">
        <v>46180</v>
      </c>
      <c r="B716" s="65">
        <f>'⚙ Настройки'!$A$2</f>
        <v/>
      </c>
      <c r="C716" s="66" t="n">
        <v>1996</v>
      </c>
      <c r="D716" s="65" t="n">
        <v>9785</v>
      </c>
      <c r="E716" s="65" t="n">
        <v>178</v>
      </c>
      <c r="F716" s="65" t="n">
        <v>72</v>
      </c>
    </row>
    <row r="717">
      <c r="A717" s="64" t="n">
        <v>46180</v>
      </c>
      <c r="B717" s="65">
        <f>'⚙ Настройки'!$A$3</f>
        <v/>
      </c>
      <c r="C717" s="66" t="n">
        <v>3785</v>
      </c>
      <c r="D717" s="65" t="n">
        <v>20112</v>
      </c>
      <c r="E717" s="65" t="n">
        <v>395</v>
      </c>
      <c r="F717" s="65" t="n">
        <v>70</v>
      </c>
    </row>
    <row r="718">
      <c r="A718" s="64" t="n">
        <v>46180</v>
      </c>
      <c r="B718" s="65">
        <f>'⚙ Настройки'!$A$4</f>
        <v/>
      </c>
      <c r="C718" s="66" t="n">
        <v>4993</v>
      </c>
      <c r="D718" s="65" t="n">
        <v>27571</v>
      </c>
      <c r="E718" s="65" t="n">
        <v>553</v>
      </c>
      <c r="F718" s="65" t="n">
        <v>112</v>
      </c>
    </row>
    <row r="719">
      <c r="A719" s="64" t="n">
        <v>46181</v>
      </c>
      <c r="B719" s="65">
        <f>'⚙ Настройки'!$A$2</f>
        <v/>
      </c>
      <c r="C719" s="66" t="n">
        <v>2696</v>
      </c>
      <c r="D719" s="65" t="n">
        <v>13838</v>
      </c>
      <c r="E719" s="65" t="n">
        <v>274</v>
      </c>
      <c r="F719" s="65" t="n">
        <v>67</v>
      </c>
    </row>
    <row r="720">
      <c r="A720" s="64" t="n">
        <v>46181</v>
      </c>
      <c r="B720" s="65">
        <f>'⚙ Настройки'!$A$3</f>
        <v/>
      </c>
      <c r="C720" s="66" t="n">
        <v>5196</v>
      </c>
      <c r="D720" s="65" t="n">
        <v>26714</v>
      </c>
      <c r="E720" s="65" t="n">
        <v>484</v>
      </c>
      <c r="F720" s="65" t="n">
        <v>114</v>
      </c>
    </row>
    <row r="721">
      <c r="A721" s="64" t="n">
        <v>46181</v>
      </c>
      <c r="B721" s="65">
        <f>'⚙ Настройки'!$A$4</f>
        <v/>
      </c>
      <c r="C721" s="66" t="n">
        <v>10680</v>
      </c>
      <c r="D721" s="65" t="n">
        <v>47979</v>
      </c>
      <c r="E721" s="65" t="n">
        <v>743</v>
      </c>
      <c r="F721" s="65" t="n">
        <v>132</v>
      </c>
    </row>
    <row r="722">
      <c r="A722" s="64" t="n">
        <v>46182</v>
      </c>
      <c r="B722" s="65">
        <f>'⚙ Настройки'!$A$2</f>
        <v/>
      </c>
      <c r="C722" s="66" t="n">
        <v>2562</v>
      </c>
      <c r="D722" s="65" t="n">
        <v>11986</v>
      </c>
      <c r="E722" s="65" t="n">
        <v>240</v>
      </c>
      <c r="F722" s="65" t="n">
        <v>134</v>
      </c>
    </row>
    <row r="723">
      <c r="A723" s="64" t="n">
        <v>46182</v>
      </c>
      <c r="B723" s="65">
        <f>'⚙ Настройки'!$A$3</f>
        <v/>
      </c>
      <c r="C723" s="66" t="n">
        <v>7290</v>
      </c>
      <c r="D723" s="65" t="n">
        <v>36253</v>
      </c>
      <c r="E723" s="65" t="n">
        <v>594</v>
      </c>
      <c r="F723" s="65" t="n">
        <v>117</v>
      </c>
    </row>
    <row r="724">
      <c r="A724" s="64" t="n">
        <v>46182</v>
      </c>
      <c r="B724" s="65">
        <f>'⚙ Настройки'!$A$4</f>
        <v/>
      </c>
      <c r="C724" s="66" t="n">
        <v>7188</v>
      </c>
      <c r="D724" s="65" t="n">
        <v>34110</v>
      </c>
      <c r="E724" s="65" t="n">
        <v>506</v>
      </c>
      <c r="F724" s="65" t="n">
        <v>90</v>
      </c>
    </row>
    <row r="725">
      <c r="A725" s="64" t="n">
        <v>46183</v>
      </c>
      <c r="B725" s="65">
        <f>'⚙ Настройки'!$A$2</f>
        <v/>
      </c>
      <c r="C725" s="66" t="n">
        <v>3892</v>
      </c>
      <c r="D725" s="65" t="n">
        <v>20806</v>
      </c>
      <c r="E725" s="65" t="n">
        <v>391</v>
      </c>
      <c r="F725" s="65" t="n">
        <v>123</v>
      </c>
    </row>
    <row r="726">
      <c r="A726" s="64" t="n">
        <v>46183</v>
      </c>
      <c r="B726" s="65">
        <f>'⚙ Настройки'!$A$3</f>
        <v/>
      </c>
      <c r="C726" s="66" t="n">
        <v>4919</v>
      </c>
      <c r="D726" s="65" t="n">
        <v>23008</v>
      </c>
      <c r="E726" s="65" t="n">
        <v>384</v>
      </c>
      <c r="F726" s="65" t="n">
        <v>82</v>
      </c>
    </row>
    <row r="727">
      <c r="A727" s="64" t="n">
        <v>46183</v>
      </c>
      <c r="B727" s="65">
        <f>'⚙ Настройки'!$A$4</f>
        <v/>
      </c>
      <c r="C727" s="66" t="n">
        <v>10341</v>
      </c>
      <c r="D727" s="65" t="n">
        <v>44008</v>
      </c>
      <c r="E727" s="65" t="n">
        <v>617</v>
      </c>
      <c r="F727" s="65" t="n">
        <v>124</v>
      </c>
    </row>
    <row r="728">
      <c r="A728" s="64" t="n">
        <v>46184</v>
      </c>
      <c r="B728" s="65">
        <f>'⚙ Настройки'!$A$2</f>
        <v/>
      </c>
      <c r="C728" s="66" t="n">
        <v>3544</v>
      </c>
      <c r="D728" s="65" t="n">
        <v>17865</v>
      </c>
      <c r="E728" s="65" t="n">
        <v>310</v>
      </c>
      <c r="F728" s="65" t="n">
        <v>110</v>
      </c>
    </row>
    <row r="729">
      <c r="A729" s="64" t="n">
        <v>46184</v>
      </c>
      <c r="B729" s="65">
        <f>'⚙ Настройки'!$A$3</f>
        <v/>
      </c>
      <c r="C729" s="66" t="n">
        <v>6143</v>
      </c>
      <c r="D729" s="65" t="n">
        <v>27226</v>
      </c>
      <c r="E729" s="65" t="n">
        <v>418</v>
      </c>
      <c r="F729" s="65" t="n">
        <v>114</v>
      </c>
    </row>
    <row r="730">
      <c r="A730" s="64" t="n">
        <v>46184</v>
      </c>
      <c r="B730" s="65">
        <f>'⚙ Настройки'!$A$4</f>
        <v/>
      </c>
      <c r="C730" s="66" t="n">
        <v>8906</v>
      </c>
      <c r="D730" s="65" t="n">
        <v>38843</v>
      </c>
      <c r="E730" s="65" t="n">
        <v>700</v>
      </c>
      <c r="F730" s="65" t="n">
        <v>125</v>
      </c>
    </row>
    <row r="731">
      <c r="A731" s="64" t="n">
        <v>46185</v>
      </c>
      <c r="B731" s="65">
        <f>'⚙ Настройки'!$A$2</f>
        <v/>
      </c>
      <c r="C731" s="66" t="n">
        <v>3212</v>
      </c>
      <c r="D731" s="65" t="n">
        <v>14631</v>
      </c>
      <c r="E731" s="65" t="n">
        <v>257</v>
      </c>
      <c r="F731" s="65" t="n">
        <v>112</v>
      </c>
    </row>
    <row r="732">
      <c r="A732" s="64" t="n">
        <v>46185</v>
      </c>
      <c r="B732" s="65">
        <f>'⚙ Настройки'!$A$3</f>
        <v/>
      </c>
      <c r="C732" s="66" t="n">
        <v>6300</v>
      </c>
      <c r="D732" s="65" t="n">
        <v>30336</v>
      </c>
      <c r="E732" s="65" t="n">
        <v>611</v>
      </c>
      <c r="F732" s="65" t="n">
        <v>105</v>
      </c>
    </row>
    <row r="733">
      <c r="A733" s="64" t="n">
        <v>46185</v>
      </c>
      <c r="B733" s="65">
        <f>'⚙ Настройки'!$A$4</f>
        <v/>
      </c>
      <c r="C733" s="66" t="n">
        <v>9083</v>
      </c>
      <c r="D733" s="65" t="n">
        <v>39843</v>
      </c>
      <c r="E733" s="65" t="n">
        <v>583</v>
      </c>
      <c r="F733" s="65" t="n">
        <v>217</v>
      </c>
    </row>
    <row r="734">
      <c r="A734" s="64" t="n">
        <v>46186</v>
      </c>
      <c r="B734" s="65">
        <f>'⚙ Настройки'!$A$2</f>
        <v/>
      </c>
      <c r="C734" s="66" t="n">
        <v>1780</v>
      </c>
      <c r="D734" s="65" t="n">
        <v>8198</v>
      </c>
      <c r="E734" s="65" t="n">
        <v>147</v>
      </c>
      <c r="F734" s="65" t="n">
        <v>75</v>
      </c>
    </row>
    <row r="735">
      <c r="A735" s="64" t="n">
        <v>46186</v>
      </c>
      <c r="B735" s="65">
        <f>'⚙ Настройки'!$A$3</f>
        <v/>
      </c>
      <c r="C735" s="66" t="n">
        <v>3396</v>
      </c>
      <c r="D735" s="65" t="n">
        <v>17207</v>
      </c>
      <c r="E735" s="65" t="n">
        <v>291</v>
      </c>
      <c r="F735" s="65" t="n">
        <v>93</v>
      </c>
    </row>
    <row r="736">
      <c r="A736" s="64" t="n">
        <v>46186</v>
      </c>
      <c r="B736" s="65">
        <f>'⚙ Настройки'!$A$4</f>
        <v/>
      </c>
      <c r="C736" s="66" t="n">
        <v>6215</v>
      </c>
      <c r="D736" s="65" t="n">
        <v>31475</v>
      </c>
      <c r="E736" s="65" t="n">
        <v>541</v>
      </c>
      <c r="F736" s="65" t="n">
        <v>158</v>
      </c>
    </row>
    <row r="737">
      <c r="A737" s="64" t="n">
        <v>46187</v>
      </c>
      <c r="B737" s="65">
        <f>'⚙ Настройки'!$A$2</f>
        <v/>
      </c>
      <c r="C737" s="66" t="n">
        <v>2648</v>
      </c>
      <c r="D737" s="65" t="n">
        <v>11676</v>
      </c>
      <c r="E737" s="65" t="n">
        <v>206</v>
      </c>
      <c r="F737" s="65" t="n">
        <v>118</v>
      </c>
    </row>
    <row r="738">
      <c r="A738" s="64" t="n">
        <v>46187</v>
      </c>
      <c r="B738" s="65">
        <f>'⚙ Настройки'!$A$3</f>
        <v/>
      </c>
      <c r="C738" s="66" t="n">
        <v>3286</v>
      </c>
      <c r="D738" s="65" t="n">
        <v>16693</v>
      </c>
      <c r="E738" s="65" t="n">
        <v>260</v>
      </c>
      <c r="F738" s="65" t="n">
        <v>59</v>
      </c>
    </row>
    <row r="739">
      <c r="A739" s="64" t="n">
        <v>46187</v>
      </c>
      <c r="B739" s="65">
        <f>'⚙ Настройки'!$A$4</f>
        <v/>
      </c>
      <c r="C739" s="66" t="n">
        <v>6828</v>
      </c>
      <c r="D739" s="65" t="n">
        <v>37631</v>
      </c>
      <c r="E739" s="65" t="n">
        <v>777</v>
      </c>
      <c r="F739" s="65" t="n">
        <v>84</v>
      </c>
    </row>
    <row r="740">
      <c r="A740" s="64" t="n">
        <v>46188</v>
      </c>
      <c r="B740" s="65">
        <f>'⚙ Настройки'!$A$2</f>
        <v/>
      </c>
      <c r="C740" s="66" t="n">
        <v>3301</v>
      </c>
      <c r="D740" s="65" t="n">
        <v>17707</v>
      </c>
      <c r="E740" s="65" t="n">
        <v>266</v>
      </c>
      <c r="F740" s="65" t="n">
        <v>116</v>
      </c>
    </row>
    <row r="741">
      <c r="A741" s="64" t="n">
        <v>46188</v>
      </c>
      <c r="B741" s="65">
        <f>'⚙ Настройки'!$A$3</f>
        <v/>
      </c>
      <c r="C741" s="66" t="n">
        <v>5866</v>
      </c>
      <c r="D741" s="65" t="n">
        <v>31406</v>
      </c>
      <c r="E741" s="65" t="n">
        <v>521</v>
      </c>
      <c r="F741" s="65" t="n">
        <v>127</v>
      </c>
    </row>
    <row r="742">
      <c r="A742" s="64" t="n">
        <v>46188</v>
      </c>
      <c r="B742" s="65">
        <f>'⚙ Настройки'!$A$4</f>
        <v/>
      </c>
      <c r="C742" s="66" t="n">
        <v>8517</v>
      </c>
      <c r="D742" s="65" t="n">
        <v>45465</v>
      </c>
      <c r="E742" s="65" t="n">
        <v>873</v>
      </c>
      <c r="F742" s="65" t="n">
        <v>172</v>
      </c>
    </row>
    <row r="743">
      <c r="A743" s="64" t="n">
        <v>46189</v>
      </c>
      <c r="B743" s="65">
        <f>'⚙ Настройки'!$A$2</f>
        <v/>
      </c>
      <c r="C743" s="66" t="n">
        <v>2666</v>
      </c>
      <c r="D743" s="65" t="n">
        <v>12909</v>
      </c>
      <c r="E743" s="65" t="n">
        <v>233</v>
      </c>
      <c r="F743" s="65" t="n">
        <v>139</v>
      </c>
    </row>
    <row r="744">
      <c r="A744" s="64" t="n">
        <v>46189</v>
      </c>
      <c r="B744" s="65">
        <f>'⚙ Настройки'!$A$3</f>
        <v/>
      </c>
      <c r="C744" s="66" t="n">
        <v>5616</v>
      </c>
      <c r="D744" s="65" t="n">
        <v>29545</v>
      </c>
      <c r="E744" s="65" t="n">
        <v>431</v>
      </c>
      <c r="F744" s="65" t="n">
        <v>194</v>
      </c>
    </row>
    <row r="745">
      <c r="A745" s="64" t="n">
        <v>46189</v>
      </c>
      <c r="B745" s="65">
        <f>'⚙ Настройки'!$A$4</f>
        <v/>
      </c>
      <c r="C745" s="66" t="n">
        <v>8399</v>
      </c>
      <c r="D745" s="65" t="n">
        <v>45005</v>
      </c>
      <c r="E745" s="65" t="n">
        <v>982</v>
      </c>
      <c r="F745" s="65" t="n">
        <v>125</v>
      </c>
    </row>
    <row r="746">
      <c r="A746" s="64" t="n">
        <v>46190</v>
      </c>
      <c r="B746" s="65">
        <f>'⚙ Настройки'!$A$2</f>
        <v/>
      </c>
      <c r="C746" s="66" t="n">
        <v>3581</v>
      </c>
      <c r="D746" s="65" t="n">
        <v>19364</v>
      </c>
      <c r="E746" s="65" t="n">
        <v>385</v>
      </c>
      <c r="F746" s="65" t="n">
        <v>97</v>
      </c>
    </row>
    <row r="747">
      <c r="A747" s="64" t="n">
        <v>46190</v>
      </c>
      <c r="B747" s="65">
        <f>'⚙ Настройки'!$A$3</f>
        <v/>
      </c>
      <c r="C747" s="66" t="n">
        <v>7520</v>
      </c>
      <c r="D747" s="65" t="n">
        <v>33418</v>
      </c>
      <c r="E747" s="65" t="n">
        <v>490</v>
      </c>
      <c r="F747" s="65" t="n">
        <v>135</v>
      </c>
    </row>
    <row r="748">
      <c r="A748" s="64" t="n">
        <v>46190</v>
      </c>
      <c r="B748" s="65">
        <f>'⚙ Настройки'!$A$4</f>
        <v/>
      </c>
      <c r="C748" s="66" t="n">
        <v>8074</v>
      </c>
      <c r="D748" s="65" t="n">
        <v>43492</v>
      </c>
      <c r="E748" s="65" t="n">
        <v>863</v>
      </c>
      <c r="F748" s="65" t="n">
        <v>97</v>
      </c>
    </row>
    <row r="749">
      <c r="A749" s="64" t="n">
        <v>46191</v>
      </c>
      <c r="B749" s="65">
        <f>'⚙ Настройки'!$A$2</f>
        <v/>
      </c>
      <c r="C749" s="66" t="n">
        <v>3375</v>
      </c>
      <c r="D749" s="65" t="n">
        <v>18417</v>
      </c>
      <c r="E749" s="65" t="n">
        <v>332</v>
      </c>
      <c r="F749" s="65" t="n">
        <v>124</v>
      </c>
    </row>
    <row r="750">
      <c r="A750" s="64" t="n">
        <v>46191</v>
      </c>
      <c r="B750" s="65">
        <f>'⚙ Настройки'!$A$3</f>
        <v/>
      </c>
      <c r="C750" s="66" t="n">
        <v>7492</v>
      </c>
      <c r="D750" s="65" t="n">
        <v>35039</v>
      </c>
      <c r="E750" s="65" t="n">
        <v>521</v>
      </c>
      <c r="F750" s="65" t="n">
        <v>159</v>
      </c>
    </row>
    <row r="751">
      <c r="A751" s="64" t="n">
        <v>46191</v>
      </c>
      <c r="B751" s="65">
        <f>'⚙ Настройки'!$A$4</f>
        <v/>
      </c>
      <c r="C751" s="66" t="n">
        <v>10246</v>
      </c>
      <c r="D751" s="65" t="n">
        <v>55061</v>
      </c>
      <c r="E751" s="65" t="n">
        <v>933</v>
      </c>
      <c r="F751" s="65" t="n">
        <v>188</v>
      </c>
    </row>
    <row r="752">
      <c r="A752" s="64" t="n">
        <v>46192</v>
      </c>
      <c r="B752" s="65">
        <f>'⚙ Настройки'!$A$2</f>
        <v/>
      </c>
      <c r="C752" s="66" t="n">
        <v>4117</v>
      </c>
      <c r="D752" s="65" t="n">
        <v>21879</v>
      </c>
      <c r="E752" s="65" t="n">
        <v>456</v>
      </c>
      <c r="F752" s="65" t="n">
        <v>98</v>
      </c>
    </row>
    <row r="753">
      <c r="A753" s="64" t="n">
        <v>46192</v>
      </c>
      <c r="B753" s="65">
        <f>'⚙ Настройки'!$A$3</f>
        <v/>
      </c>
      <c r="C753" s="66" t="n">
        <v>5848</v>
      </c>
      <c r="D753" s="65" t="n">
        <v>30556</v>
      </c>
      <c r="E753" s="65" t="n">
        <v>561</v>
      </c>
      <c r="F753" s="65" t="n">
        <v>203</v>
      </c>
    </row>
    <row r="754">
      <c r="A754" s="64" t="n">
        <v>46192</v>
      </c>
      <c r="B754" s="65">
        <f>'⚙ Настройки'!$A$4</f>
        <v/>
      </c>
      <c r="C754" s="66" t="n">
        <v>9881</v>
      </c>
      <c r="D754" s="65" t="n">
        <v>52317</v>
      </c>
      <c r="E754" s="65" t="n">
        <v>986</v>
      </c>
      <c r="F754" s="65" t="n">
        <v>110</v>
      </c>
    </row>
    <row r="755">
      <c r="A755" s="64" t="n">
        <v>46193</v>
      </c>
      <c r="B755" s="65">
        <f>'⚙ Настройки'!$A$2</f>
        <v/>
      </c>
      <c r="C755" s="66" t="n">
        <v>2627</v>
      </c>
      <c r="D755" s="65" t="n">
        <v>11477</v>
      </c>
      <c r="E755" s="65" t="n">
        <v>178</v>
      </c>
      <c r="F755" s="65" t="n">
        <v>63</v>
      </c>
    </row>
    <row r="756">
      <c r="A756" s="64" t="n">
        <v>46193</v>
      </c>
      <c r="B756" s="65">
        <f>'⚙ Настройки'!$A$3</f>
        <v/>
      </c>
      <c r="C756" s="66" t="n">
        <v>5126</v>
      </c>
      <c r="D756" s="65" t="n">
        <v>23442</v>
      </c>
      <c r="E756" s="65" t="n">
        <v>446</v>
      </c>
      <c r="F756" s="65" t="n">
        <v>80</v>
      </c>
    </row>
    <row r="757">
      <c r="A757" s="64" t="n">
        <v>46193</v>
      </c>
      <c r="B757" s="65">
        <f>'⚙ Настройки'!$A$4</f>
        <v/>
      </c>
      <c r="C757" s="66" t="n">
        <v>6943</v>
      </c>
      <c r="D757" s="65" t="n">
        <v>38483</v>
      </c>
      <c r="E757" s="65" t="n">
        <v>562</v>
      </c>
      <c r="F757" s="65" t="n">
        <v>155</v>
      </c>
    </row>
    <row r="758">
      <c r="A758" s="64" t="n">
        <v>46194</v>
      </c>
      <c r="B758" s="65">
        <f>'⚙ Настройки'!$A$2</f>
        <v/>
      </c>
      <c r="C758" s="66" t="n">
        <v>2347</v>
      </c>
      <c r="D758" s="65" t="n">
        <v>9886</v>
      </c>
      <c r="E758" s="65" t="n">
        <v>211</v>
      </c>
      <c r="F758" s="65" t="n">
        <v>106</v>
      </c>
    </row>
    <row r="759">
      <c r="A759" s="64" t="n">
        <v>46194</v>
      </c>
      <c r="B759" s="65">
        <f>'⚙ Настройки'!$A$3</f>
        <v/>
      </c>
      <c r="C759" s="66" t="n">
        <v>4565</v>
      </c>
      <c r="D759" s="65" t="n">
        <v>23400</v>
      </c>
      <c r="E759" s="65" t="n">
        <v>374</v>
      </c>
      <c r="F759" s="65" t="n">
        <v>135</v>
      </c>
    </row>
    <row r="760">
      <c r="A760" s="64" t="n">
        <v>46194</v>
      </c>
      <c r="B760" s="65">
        <f>'⚙ Настройки'!$A$4</f>
        <v/>
      </c>
      <c r="C760" s="66" t="n">
        <v>6717</v>
      </c>
      <c r="D760" s="65" t="n">
        <v>31108</v>
      </c>
      <c r="E760" s="65" t="n">
        <v>565</v>
      </c>
      <c r="F760" s="65" t="n">
        <v>108</v>
      </c>
    </row>
    <row r="761">
      <c r="A761" s="64" t="n">
        <v>46195</v>
      </c>
      <c r="B761" s="65">
        <f>'⚙ Настройки'!$A$2</f>
        <v/>
      </c>
      <c r="C761" s="66" t="n">
        <v>3856</v>
      </c>
      <c r="D761" s="65" t="n">
        <v>16350</v>
      </c>
      <c r="E761" s="65" t="n">
        <v>237</v>
      </c>
      <c r="F761" s="65" t="n">
        <v>145</v>
      </c>
    </row>
    <row r="762">
      <c r="A762" s="64" t="n">
        <v>46195</v>
      </c>
      <c r="B762" s="65">
        <f>'⚙ Настройки'!$A$3</f>
        <v/>
      </c>
      <c r="C762" s="66" t="n">
        <v>4633</v>
      </c>
      <c r="D762" s="65" t="n">
        <v>20458</v>
      </c>
      <c r="E762" s="65" t="n">
        <v>424</v>
      </c>
      <c r="F762" s="65" t="n">
        <v>117</v>
      </c>
    </row>
    <row r="763">
      <c r="A763" s="64" t="n">
        <v>46195</v>
      </c>
      <c r="B763" s="65">
        <f>'⚙ Настройки'!$A$4</f>
        <v/>
      </c>
      <c r="C763" s="66" t="n">
        <v>8356</v>
      </c>
      <c r="D763" s="65" t="n">
        <v>38567</v>
      </c>
      <c r="E763" s="65" t="n">
        <v>740</v>
      </c>
      <c r="F763" s="65" t="n">
        <v>97</v>
      </c>
    </row>
    <row r="764">
      <c r="A764" s="64" t="n">
        <v>46196</v>
      </c>
      <c r="B764" s="65">
        <f>'⚙ Настройки'!$A$2</f>
        <v/>
      </c>
      <c r="C764" s="66" t="n">
        <v>3805</v>
      </c>
      <c r="D764" s="65" t="n">
        <v>20076</v>
      </c>
      <c r="E764" s="65" t="n">
        <v>425</v>
      </c>
      <c r="F764" s="65" t="n">
        <v>154</v>
      </c>
    </row>
    <row r="765">
      <c r="A765" s="64" t="n">
        <v>46196</v>
      </c>
      <c r="B765" s="65">
        <f>'⚙ Настройки'!$A$3</f>
        <v/>
      </c>
      <c r="C765" s="66" t="n">
        <v>5118</v>
      </c>
      <c r="D765" s="65" t="n">
        <v>23446</v>
      </c>
      <c r="E765" s="65" t="n">
        <v>487</v>
      </c>
      <c r="F765" s="65" t="n">
        <v>81</v>
      </c>
    </row>
    <row r="766">
      <c r="A766" s="64" t="n">
        <v>46196</v>
      </c>
      <c r="B766" s="65">
        <f>'⚙ Настройки'!$A$4</f>
        <v/>
      </c>
      <c r="C766" s="66" t="n">
        <v>9791</v>
      </c>
      <c r="D766" s="65" t="n">
        <v>42982</v>
      </c>
      <c r="E766" s="65" t="n">
        <v>916</v>
      </c>
      <c r="F766" s="65" t="n">
        <v>119</v>
      </c>
    </row>
    <row r="767">
      <c r="A767" s="64" t="n">
        <v>46197</v>
      </c>
      <c r="B767" s="65">
        <f>'⚙ Настройки'!$A$2</f>
        <v/>
      </c>
      <c r="C767" s="66" t="n">
        <v>3910</v>
      </c>
      <c r="D767" s="65" t="n">
        <v>20730</v>
      </c>
      <c r="E767" s="65" t="n">
        <v>374</v>
      </c>
      <c r="F767" s="65" t="n">
        <v>97</v>
      </c>
    </row>
    <row r="768">
      <c r="A768" s="64" t="n">
        <v>46197</v>
      </c>
      <c r="B768" s="65">
        <f>'⚙ Настройки'!$A$3</f>
        <v/>
      </c>
      <c r="C768" s="66" t="n">
        <v>5071</v>
      </c>
      <c r="D768" s="65" t="n">
        <v>22332</v>
      </c>
      <c r="E768" s="65" t="n">
        <v>461</v>
      </c>
      <c r="F768" s="65" t="n">
        <v>90</v>
      </c>
    </row>
    <row r="769">
      <c r="A769" s="64" t="n">
        <v>46197</v>
      </c>
      <c r="B769" s="65">
        <f>'⚙ Настройки'!$A$4</f>
        <v/>
      </c>
      <c r="C769" s="66" t="n">
        <v>9731</v>
      </c>
      <c r="D769" s="65" t="n">
        <v>53515</v>
      </c>
      <c r="E769" s="65" t="n">
        <v>1041</v>
      </c>
      <c r="F769" s="65" t="n">
        <v>118</v>
      </c>
    </row>
    <row r="770">
      <c r="A770" s="64" t="n">
        <v>46198</v>
      </c>
      <c r="B770" s="65">
        <f>'⚙ Настройки'!$A$2</f>
        <v/>
      </c>
      <c r="C770" s="66" t="n">
        <v>2887</v>
      </c>
      <c r="D770" s="65" t="n">
        <v>14747</v>
      </c>
      <c r="E770" s="65" t="n">
        <v>266</v>
      </c>
      <c r="F770" s="65" t="n">
        <v>112</v>
      </c>
    </row>
    <row r="771">
      <c r="A771" s="64" t="n">
        <v>46198</v>
      </c>
      <c r="B771" s="65">
        <f>'⚙ Настройки'!$A$3</f>
        <v/>
      </c>
      <c r="C771" s="66" t="n">
        <v>5557</v>
      </c>
      <c r="D771" s="65" t="n">
        <v>29083</v>
      </c>
      <c r="E771" s="65" t="n">
        <v>599</v>
      </c>
      <c r="F771" s="65" t="n">
        <v>137</v>
      </c>
    </row>
    <row r="772">
      <c r="A772" s="64" t="n">
        <v>46198</v>
      </c>
      <c r="B772" s="65">
        <f>'⚙ Настройки'!$A$4</f>
        <v/>
      </c>
      <c r="C772" s="66" t="n">
        <v>8484</v>
      </c>
      <c r="D772" s="65" t="n">
        <v>36461</v>
      </c>
      <c r="E772" s="65" t="n">
        <v>563</v>
      </c>
      <c r="F772" s="65" t="n">
        <v>97</v>
      </c>
    </row>
    <row r="773">
      <c r="A773" s="64" t="n">
        <v>46199</v>
      </c>
      <c r="B773" s="65">
        <f>'⚙ Настройки'!$A$2</f>
        <v/>
      </c>
      <c r="C773" s="66" t="n">
        <v>2600</v>
      </c>
      <c r="D773" s="65" t="n">
        <v>13618</v>
      </c>
      <c r="E773" s="65" t="n">
        <v>208</v>
      </c>
      <c r="F773" s="65" t="n">
        <v>64</v>
      </c>
    </row>
    <row r="774">
      <c r="A774" s="64" t="n">
        <v>46199</v>
      </c>
      <c r="B774" s="65">
        <f>'⚙ Настройки'!$A$3</f>
        <v/>
      </c>
      <c r="C774" s="66" t="n">
        <v>5690</v>
      </c>
      <c r="D774" s="65" t="n">
        <v>26705</v>
      </c>
      <c r="E774" s="65" t="n">
        <v>453</v>
      </c>
      <c r="F774" s="65" t="n">
        <v>95</v>
      </c>
    </row>
    <row r="775">
      <c r="A775" s="64" t="n">
        <v>46199</v>
      </c>
      <c r="B775" s="65">
        <f>'⚙ Настройки'!$A$4</f>
        <v/>
      </c>
      <c r="C775" s="66" t="n">
        <v>8541</v>
      </c>
      <c r="D775" s="65" t="n">
        <v>38406</v>
      </c>
      <c r="E775" s="65" t="n">
        <v>615</v>
      </c>
      <c r="F775" s="65" t="n">
        <v>158</v>
      </c>
    </row>
    <row r="776">
      <c r="A776" s="64" t="n">
        <v>46200</v>
      </c>
      <c r="B776" s="65">
        <f>'⚙ Настройки'!$A$2</f>
        <v/>
      </c>
      <c r="C776" s="66" t="n">
        <v>2584</v>
      </c>
      <c r="D776" s="65" t="n">
        <v>11056</v>
      </c>
      <c r="E776" s="65" t="n">
        <v>170</v>
      </c>
      <c r="F776" s="65" t="n">
        <v>70</v>
      </c>
    </row>
    <row r="777">
      <c r="A777" s="64" t="n">
        <v>46200</v>
      </c>
      <c r="B777" s="65">
        <f>'⚙ Настройки'!$A$3</f>
        <v/>
      </c>
      <c r="C777" s="66" t="n">
        <v>3711</v>
      </c>
      <c r="D777" s="65" t="n">
        <v>20337</v>
      </c>
      <c r="E777" s="65" t="n">
        <v>377</v>
      </c>
      <c r="F777" s="65" t="n">
        <v>71</v>
      </c>
    </row>
    <row r="778">
      <c r="A778" s="64" t="n">
        <v>46200</v>
      </c>
      <c r="B778" s="65">
        <f>'⚙ Настройки'!$A$4</f>
        <v/>
      </c>
      <c r="C778" s="66" t="n">
        <v>5697</v>
      </c>
      <c r="D778" s="65" t="n">
        <v>28561</v>
      </c>
      <c r="E778" s="65" t="n">
        <v>421</v>
      </c>
      <c r="F778" s="65" t="n">
        <v>93</v>
      </c>
    </row>
    <row r="779">
      <c r="A779" s="64" t="n">
        <v>46201</v>
      </c>
      <c r="B779" s="65">
        <f>'⚙ Настройки'!$A$2</f>
        <v/>
      </c>
      <c r="C779" s="66" t="n">
        <v>1917</v>
      </c>
      <c r="D779" s="65" t="n">
        <v>9049</v>
      </c>
      <c r="E779" s="65" t="n">
        <v>173</v>
      </c>
      <c r="F779" s="65" t="n">
        <v>72</v>
      </c>
    </row>
    <row r="780">
      <c r="A780" s="64" t="n">
        <v>46201</v>
      </c>
      <c r="B780" s="65">
        <f>'⚙ Настройки'!$A$3</f>
        <v/>
      </c>
      <c r="C780" s="66" t="n">
        <v>4955</v>
      </c>
      <c r="D780" s="65" t="n">
        <v>22286</v>
      </c>
      <c r="E780" s="65" t="n">
        <v>473</v>
      </c>
      <c r="F780" s="65" t="n">
        <v>77</v>
      </c>
    </row>
    <row r="781">
      <c r="A781" s="64" t="n">
        <v>46201</v>
      </c>
      <c r="B781" s="65">
        <f>'⚙ Настройки'!$A$4</f>
        <v/>
      </c>
      <c r="C781" s="66" t="n">
        <v>7654</v>
      </c>
      <c r="D781" s="65" t="n">
        <v>34911</v>
      </c>
      <c r="E781" s="65" t="n">
        <v>749</v>
      </c>
      <c r="F781" s="65" t="n">
        <v>98</v>
      </c>
    </row>
    <row r="782">
      <c r="A782" s="64" t="n">
        <v>46202</v>
      </c>
      <c r="B782" s="65">
        <f>'⚙ Настройки'!$A$2</f>
        <v/>
      </c>
      <c r="C782" s="66" t="n">
        <v>4027</v>
      </c>
      <c r="D782" s="65" t="n">
        <v>18879</v>
      </c>
      <c r="E782" s="65" t="n">
        <v>352</v>
      </c>
      <c r="F782" s="65" t="n">
        <v>103</v>
      </c>
    </row>
    <row r="783">
      <c r="A783" s="64" t="n">
        <v>46202</v>
      </c>
      <c r="B783" s="65">
        <f>'⚙ Настройки'!$A$3</f>
        <v/>
      </c>
      <c r="C783" s="66" t="n">
        <v>6092</v>
      </c>
      <c r="D783" s="65" t="n">
        <v>29013</v>
      </c>
      <c r="E783" s="65" t="n">
        <v>443</v>
      </c>
      <c r="F783" s="65" t="n">
        <v>154</v>
      </c>
    </row>
    <row r="784">
      <c r="A784" s="64" t="n">
        <v>46202</v>
      </c>
      <c r="B784" s="65">
        <f>'⚙ Настройки'!$A$4</f>
        <v/>
      </c>
      <c r="C784" s="66" t="n">
        <v>10310</v>
      </c>
      <c r="D784" s="65" t="n">
        <v>43020</v>
      </c>
      <c r="E784" s="65" t="n">
        <v>861</v>
      </c>
      <c r="F784" s="65" t="n">
        <v>195</v>
      </c>
    </row>
    <row r="785">
      <c r="A785" s="64" t="n">
        <v>46203</v>
      </c>
      <c r="B785" s="65">
        <f>'⚙ Настройки'!$A$2</f>
        <v/>
      </c>
      <c r="C785" s="66" t="n">
        <v>2726</v>
      </c>
      <c r="D785" s="65" t="n">
        <v>11378</v>
      </c>
      <c r="E785" s="65" t="n">
        <v>217</v>
      </c>
      <c r="F785" s="65" t="n">
        <v>99</v>
      </c>
    </row>
    <row r="786">
      <c r="A786" s="64" t="n">
        <v>46203</v>
      </c>
      <c r="B786" s="65">
        <f>'⚙ Настройки'!$A$3</f>
        <v/>
      </c>
      <c r="C786" s="66" t="n">
        <v>6363</v>
      </c>
      <c r="D786" s="65" t="n">
        <v>34429</v>
      </c>
      <c r="E786" s="65" t="n">
        <v>671</v>
      </c>
      <c r="F786" s="65" t="n">
        <v>185</v>
      </c>
    </row>
    <row r="787">
      <c r="A787" s="64" t="n">
        <v>46203</v>
      </c>
      <c r="B787" s="65">
        <f>'⚙ Настройки'!$A$4</f>
        <v/>
      </c>
      <c r="C787" s="66" t="n">
        <v>7728</v>
      </c>
      <c r="D787" s="65" t="n">
        <v>37745</v>
      </c>
      <c r="E787" s="65" t="n">
        <v>535</v>
      </c>
      <c r="F787" s="65" t="n">
        <v>153</v>
      </c>
    </row>
    <row r="788">
      <c r="A788" s="64" t="n">
        <v>46204</v>
      </c>
      <c r="B788" s="65">
        <f>'⚙ Настройки'!$A$2</f>
        <v/>
      </c>
      <c r="C788" s="66" t="n">
        <v>3907</v>
      </c>
      <c r="D788" s="65" t="n">
        <v>19945</v>
      </c>
      <c r="E788" s="65" t="n">
        <v>437</v>
      </c>
      <c r="F788" s="65" t="n">
        <v>123</v>
      </c>
    </row>
    <row r="789">
      <c r="A789" s="64" t="n">
        <v>46204</v>
      </c>
      <c r="B789" s="65">
        <f>'⚙ Настройки'!$A$3</f>
        <v/>
      </c>
      <c r="C789" s="66" t="n">
        <v>5947</v>
      </c>
      <c r="D789" s="65" t="n">
        <v>24968</v>
      </c>
      <c r="E789" s="65" t="n">
        <v>367</v>
      </c>
      <c r="F789" s="65" t="n">
        <v>200</v>
      </c>
    </row>
    <row r="790">
      <c r="A790" s="64" t="n">
        <v>46204</v>
      </c>
      <c r="B790" s="65">
        <f>'⚙ Настройки'!$A$4</f>
        <v/>
      </c>
      <c r="C790" s="66" t="n">
        <v>10549</v>
      </c>
      <c r="D790" s="65" t="n">
        <v>44841</v>
      </c>
      <c r="E790" s="65" t="n">
        <v>746</v>
      </c>
      <c r="F790" s="65" t="n">
        <v>135</v>
      </c>
    </row>
    <row r="791">
      <c r="A791" s="64" t="n">
        <v>46205</v>
      </c>
      <c r="B791" s="65">
        <f>'⚙ Настройки'!$A$2</f>
        <v/>
      </c>
      <c r="C791" s="66" t="n">
        <v>3166</v>
      </c>
      <c r="D791" s="65" t="n">
        <v>14016</v>
      </c>
      <c r="E791" s="65" t="n">
        <v>246</v>
      </c>
      <c r="F791" s="65" t="n">
        <v>142</v>
      </c>
    </row>
    <row r="792">
      <c r="A792" s="64" t="n">
        <v>46205</v>
      </c>
      <c r="B792" s="65">
        <f>'⚙ Настройки'!$A$3</f>
        <v/>
      </c>
      <c r="C792" s="66" t="n">
        <v>5942</v>
      </c>
      <c r="D792" s="65" t="n">
        <v>31037</v>
      </c>
      <c r="E792" s="65" t="n">
        <v>614</v>
      </c>
      <c r="F792" s="65" t="n">
        <v>209</v>
      </c>
    </row>
    <row r="793">
      <c r="A793" s="64" t="n">
        <v>46205</v>
      </c>
      <c r="B793" s="65">
        <f>'⚙ Настройки'!$A$4</f>
        <v/>
      </c>
      <c r="C793" s="66" t="n">
        <v>10067</v>
      </c>
      <c r="D793" s="65" t="n">
        <v>43134</v>
      </c>
      <c r="E793" s="65" t="n">
        <v>878</v>
      </c>
      <c r="F793" s="65" t="n">
        <v>153</v>
      </c>
    </row>
    <row r="794">
      <c r="A794" s="64" t="n">
        <v>46206</v>
      </c>
      <c r="B794" s="65">
        <f>'⚙ Настройки'!$A$2</f>
        <v/>
      </c>
      <c r="C794" s="66" t="n">
        <v>3823</v>
      </c>
      <c r="D794" s="65" t="n">
        <v>20902</v>
      </c>
      <c r="E794" s="65" t="n">
        <v>430</v>
      </c>
      <c r="F794" s="65" t="n">
        <v>159</v>
      </c>
    </row>
    <row r="795">
      <c r="A795" s="64" t="n">
        <v>46206</v>
      </c>
      <c r="B795" s="65">
        <f>'⚙ Настройки'!$A$3</f>
        <v/>
      </c>
      <c r="C795" s="66" t="n">
        <v>7179</v>
      </c>
      <c r="D795" s="65" t="n">
        <v>31035</v>
      </c>
      <c r="E795" s="65" t="n">
        <v>630</v>
      </c>
      <c r="F795" s="65" t="n">
        <v>162</v>
      </c>
    </row>
    <row r="796">
      <c r="A796" s="64" t="n">
        <v>46206</v>
      </c>
      <c r="B796" s="65">
        <f>'⚙ Настройки'!$A$4</f>
        <v/>
      </c>
      <c r="C796" s="66" t="n">
        <v>7109</v>
      </c>
      <c r="D796" s="65" t="n">
        <v>30972</v>
      </c>
      <c r="E796" s="65" t="n">
        <v>511</v>
      </c>
      <c r="F796" s="65" t="n">
        <v>100</v>
      </c>
    </row>
    <row r="797">
      <c r="A797" s="64" t="n">
        <v>46207</v>
      </c>
      <c r="B797" s="65">
        <f>'⚙ Настройки'!$A$2</f>
        <v/>
      </c>
      <c r="C797" s="66" t="n">
        <v>2554</v>
      </c>
      <c r="D797" s="65" t="n">
        <v>10684</v>
      </c>
      <c r="E797" s="65" t="n">
        <v>200</v>
      </c>
      <c r="F797" s="65" t="n">
        <v>75</v>
      </c>
    </row>
    <row r="798">
      <c r="A798" s="64" t="n">
        <v>46207</v>
      </c>
      <c r="B798" s="65">
        <f>'⚙ Настройки'!$A$3</f>
        <v/>
      </c>
      <c r="C798" s="66" t="n">
        <v>3832</v>
      </c>
      <c r="D798" s="65" t="n">
        <v>17442</v>
      </c>
      <c r="E798" s="65" t="n">
        <v>316</v>
      </c>
      <c r="F798" s="65" t="n">
        <v>87</v>
      </c>
    </row>
    <row r="799">
      <c r="A799" s="64" t="n">
        <v>46207</v>
      </c>
      <c r="B799" s="65">
        <f>'⚙ Настройки'!$A$4</f>
        <v/>
      </c>
      <c r="C799" s="66" t="n">
        <v>5796</v>
      </c>
      <c r="D799" s="65" t="n">
        <v>27309</v>
      </c>
      <c r="E799" s="65" t="n">
        <v>593</v>
      </c>
      <c r="F799" s="65" t="n">
        <v>124</v>
      </c>
    </row>
    <row r="800">
      <c r="A800" s="64" t="n">
        <v>46208</v>
      </c>
      <c r="B800" s="65">
        <f>'⚙ Настройки'!$A$2</f>
        <v/>
      </c>
      <c r="C800" s="66" t="n">
        <v>2166</v>
      </c>
      <c r="D800" s="65" t="n">
        <v>12026</v>
      </c>
      <c r="E800" s="65" t="n">
        <v>172</v>
      </c>
      <c r="F800" s="65" t="n">
        <v>101</v>
      </c>
    </row>
    <row r="801">
      <c r="A801" s="64" t="n">
        <v>46208</v>
      </c>
      <c r="B801" s="65">
        <f>'⚙ Настройки'!$A$3</f>
        <v/>
      </c>
      <c r="C801" s="66" t="n">
        <v>3955</v>
      </c>
      <c r="D801" s="65" t="n">
        <v>19169</v>
      </c>
      <c r="E801" s="65" t="n">
        <v>371</v>
      </c>
      <c r="F801" s="65" t="n">
        <v>67</v>
      </c>
    </row>
    <row r="802">
      <c r="A802" s="64" t="n">
        <v>46208</v>
      </c>
      <c r="B802" s="65">
        <f>'⚙ Настройки'!$A$4</f>
        <v/>
      </c>
      <c r="C802" s="66" t="n">
        <v>6310</v>
      </c>
      <c r="D802" s="65" t="n">
        <v>28813</v>
      </c>
      <c r="E802" s="65" t="n">
        <v>527</v>
      </c>
      <c r="F802" s="65" t="n">
        <v>73</v>
      </c>
    </row>
    <row r="803">
      <c r="A803" s="64" t="n">
        <v>46209</v>
      </c>
      <c r="B803" s="65">
        <f>'⚙ Настройки'!$A$2</f>
        <v/>
      </c>
      <c r="C803" s="66" t="n">
        <v>3616</v>
      </c>
      <c r="D803" s="65" t="n">
        <v>17559</v>
      </c>
      <c r="E803" s="65" t="n">
        <v>318</v>
      </c>
      <c r="F803" s="65" t="n">
        <v>92</v>
      </c>
    </row>
    <row r="804">
      <c r="A804" s="64" t="n">
        <v>46209</v>
      </c>
      <c r="B804" s="65">
        <f>'⚙ Настройки'!$A$3</f>
        <v/>
      </c>
      <c r="C804" s="66" t="n">
        <v>7395</v>
      </c>
      <c r="D804" s="65" t="n">
        <v>38948</v>
      </c>
      <c r="E804" s="65" t="n">
        <v>637</v>
      </c>
      <c r="F804" s="65" t="n">
        <v>165</v>
      </c>
    </row>
    <row r="805">
      <c r="A805" s="64" t="n">
        <v>46209</v>
      </c>
      <c r="B805" s="65">
        <f>'⚙ Настройки'!$A$4</f>
        <v/>
      </c>
      <c r="C805" s="66" t="n">
        <v>8475</v>
      </c>
      <c r="D805" s="65" t="n">
        <v>36090</v>
      </c>
      <c r="E805" s="65" t="n">
        <v>704</v>
      </c>
      <c r="F805" s="65" t="n">
        <v>96</v>
      </c>
    </row>
    <row r="806">
      <c r="A806" s="64" t="n">
        <v>46210</v>
      </c>
      <c r="B806" s="65">
        <f>'⚙ Настройки'!$A$2</f>
        <v/>
      </c>
      <c r="C806" s="66" t="n">
        <v>2792</v>
      </c>
      <c r="D806" s="65" t="n">
        <v>14419</v>
      </c>
      <c r="E806" s="65" t="n">
        <v>277</v>
      </c>
      <c r="F806" s="65" t="n">
        <v>151</v>
      </c>
    </row>
    <row r="807">
      <c r="A807" s="64" t="n">
        <v>46210</v>
      </c>
      <c r="B807" s="65">
        <f>'⚙ Настройки'!$A$3</f>
        <v/>
      </c>
      <c r="C807" s="66" t="n">
        <v>6353</v>
      </c>
      <c r="D807" s="65" t="n">
        <v>31625</v>
      </c>
      <c r="E807" s="65" t="n">
        <v>492</v>
      </c>
      <c r="F807" s="65" t="n">
        <v>202</v>
      </c>
    </row>
    <row r="808">
      <c r="A808" s="64" t="n">
        <v>46210</v>
      </c>
      <c r="B808" s="65">
        <f>'⚙ Настройки'!$A$4</f>
        <v/>
      </c>
      <c r="C808" s="66" t="n">
        <v>7070</v>
      </c>
      <c r="D808" s="65" t="n">
        <v>36681</v>
      </c>
      <c r="E808" s="65" t="n">
        <v>598</v>
      </c>
      <c r="F808" s="65" t="n">
        <v>83</v>
      </c>
    </row>
    <row r="809">
      <c r="A809" s="64" t="n">
        <v>46211</v>
      </c>
      <c r="B809" s="65">
        <f>'⚙ Настройки'!$A$2</f>
        <v/>
      </c>
      <c r="C809" s="66" t="n">
        <v>2573</v>
      </c>
      <c r="D809" s="65" t="n">
        <v>12782</v>
      </c>
      <c r="E809" s="65" t="n">
        <v>190</v>
      </c>
      <c r="F809" s="65" t="n">
        <v>97</v>
      </c>
    </row>
    <row r="810">
      <c r="A810" s="64" t="n">
        <v>46211</v>
      </c>
      <c r="B810" s="65">
        <f>'⚙ Настройки'!$A$3</f>
        <v/>
      </c>
      <c r="C810" s="66" t="n">
        <v>5621</v>
      </c>
      <c r="D810" s="65" t="n">
        <v>27072</v>
      </c>
      <c r="E810" s="65" t="n">
        <v>589</v>
      </c>
      <c r="F810" s="65" t="n">
        <v>90</v>
      </c>
    </row>
    <row r="811">
      <c r="A811" s="64" t="n">
        <v>46211</v>
      </c>
      <c r="B811" s="65">
        <f>'⚙ Настройки'!$A$4</f>
        <v/>
      </c>
      <c r="C811" s="66" t="n">
        <v>6739</v>
      </c>
      <c r="D811" s="65" t="n">
        <v>34451</v>
      </c>
      <c r="E811" s="65" t="n">
        <v>680</v>
      </c>
      <c r="F811" s="65" t="n">
        <v>76</v>
      </c>
    </row>
    <row r="812">
      <c r="A812" s="64" t="n">
        <v>46212</v>
      </c>
      <c r="B812" s="65">
        <f>'⚙ Настройки'!$A$2</f>
        <v/>
      </c>
      <c r="C812" s="66" t="n">
        <v>2955</v>
      </c>
      <c r="D812" s="65" t="n">
        <v>13743</v>
      </c>
      <c r="E812" s="65" t="n">
        <v>257</v>
      </c>
      <c r="F812" s="65" t="n">
        <v>130</v>
      </c>
    </row>
    <row r="813">
      <c r="A813" s="64" t="n">
        <v>46212</v>
      </c>
      <c r="B813" s="65">
        <f>'⚙ Настройки'!$A$3</f>
        <v/>
      </c>
      <c r="C813" s="66" t="n">
        <v>7298</v>
      </c>
      <c r="D813" s="65" t="n">
        <v>30604</v>
      </c>
      <c r="E813" s="65" t="n">
        <v>664</v>
      </c>
      <c r="F813" s="65" t="n">
        <v>142</v>
      </c>
    </row>
    <row r="814">
      <c r="A814" s="64" t="n">
        <v>46212</v>
      </c>
      <c r="B814" s="65">
        <f>'⚙ Настройки'!$A$4</f>
        <v/>
      </c>
      <c r="C814" s="66" t="n">
        <v>7470</v>
      </c>
      <c r="D814" s="65" t="n">
        <v>36213</v>
      </c>
      <c r="E814" s="65" t="n">
        <v>706</v>
      </c>
      <c r="F814" s="65" t="n">
        <v>101</v>
      </c>
    </row>
    <row r="815">
      <c r="A815" s="64" t="n">
        <v>46213</v>
      </c>
      <c r="B815" s="65">
        <f>'⚙ Настройки'!$A$2</f>
        <v/>
      </c>
      <c r="C815" s="66" t="n">
        <v>3644</v>
      </c>
      <c r="D815" s="65" t="n">
        <v>17478</v>
      </c>
      <c r="E815" s="65" t="n">
        <v>264</v>
      </c>
      <c r="F815" s="65" t="n">
        <v>90</v>
      </c>
    </row>
    <row r="816">
      <c r="A816" s="64" t="n">
        <v>46213</v>
      </c>
      <c r="B816" s="65">
        <f>'⚙ Настройки'!$A$3</f>
        <v/>
      </c>
      <c r="C816" s="66" t="n">
        <v>7138</v>
      </c>
      <c r="D816" s="65" t="n">
        <v>38878</v>
      </c>
      <c r="E816" s="65" t="n">
        <v>755</v>
      </c>
      <c r="F816" s="65" t="n">
        <v>140</v>
      </c>
    </row>
    <row r="817">
      <c r="A817" s="64" t="n">
        <v>46213</v>
      </c>
      <c r="B817" s="65">
        <f>'⚙ Настройки'!$A$4</f>
        <v/>
      </c>
      <c r="C817" s="66" t="n">
        <v>10019</v>
      </c>
      <c r="D817" s="65" t="n">
        <v>44492</v>
      </c>
      <c r="E817" s="65" t="n">
        <v>711</v>
      </c>
      <c r="F817" s="65" t="n">
        <v>194</v>
      </c>
    </row>
    <row r="818">
      <c r="A818" s="64" t="n">
        <v>46214</v>
      </c>
      <c r="B818" s="65">
        <f>'⚙ Настройки'!$A$2</f>
        <v/>
      </c>
      <c r="C818" s="66" t="n">
        <v>2096</v>
      </c>
      <c r="D818" s="65" t="n">
        <v>11092</v>
      </c>
      <c r="E818" s="65" t="n">
        <v>164</v>
      </c>
      <c r="F818" s="65" t="n">
        <v>63</v>
      </c>
    </row>
    <row r="819">
      <c r="A819" s="64" t="n">
        <v>46214</v>
      </c>
      <c r="B819" s="65">
        <f>'⚙ Настройки'!$A$3</f>
        <v/>
      </c>
      <c r="C819" s="66" t="n">
        <v>3889</v>
      </c>
      <c r="D819" s="65" t="n">
        <v>18150</v>
      </c>
      <c r="E819" s="65" t="n">
        <v>392</v>
      </c>
      <c r="F819" s="65" t="n">
        <v>84</v>
      </c>
    </row>
    <row r="820">
      <c r="A820" s="64" t="n">
        <v>46214</v>
      </c>
      <c r="B820" s="65">
        <f>'⚙ Настройки'!$A$4</f>
        <v/>
      </c>
      <c r="C820" s="66" t="n">
        <v>4775</v>
      </c>
      <c r="D820" s="65" t="n">
        <v>21561</v>
      </c>
      <c r="E820" s="65" t="n">
        <v>338</v>
      </c>
      <c r="F820" s="65" t="n">
        <v>92</v>
      </c>
    </row>
    <row r="821">
      <c r="A821" s="64" t="n">
        <v>46215</v>
      </c>
      <c r="B821" s="65">
        <f>'⚙ Настройки'!$A$2</f>
        <v/>
      </c>
      <c r="C821" s="66" t="n">
        <v>2854</v>
      </c>
      <c r="D821" s="65" t="n">
        <v>12577</v>
      </c>
      <c r="E821" s="65" t="n">
        <v>217</v>
      </c>
      <c r="F821" s="65" t="n">
        <v>118</v>
      </c>
    </row>
    <row r="822">
      <c r="A822" s="64" t="n">
        <v>46215</v>
      </c>
      <c r="B822" s="65">
        <f>'⚙ Настройки'!$A$3</f>
        <v/>
      </c>
      <c r="C822" s="66" t="n">
        <v>4652</v>
      </c>
      <c r="D822" s="65" t="n">
        <v>23500</v>
      </c>
      <c r="E822" s="65" t="n">
        <v>394</v>
      </c>
      <c r="F822" s="65" t="n">
        <v>76</v>
      </c>
    </row>
    <row r="823">
      <c r="A823" s="64" t="n">
        <v>46215</v>
      </c>
      <c r="B823" s="65">
        <f>'⚙ Настройки'!$A$4</f>
        <v/>
      </c>
      <c r="C823" s="66" t="n">
        <v>7711</v>
      </c>
      <c r="D823" s="65" t="n">
        <v>35275</v>
      </c>
      <c r="E823" s="65" t="n">
        <v>661</v>
      </c>
      <c r="F823" s="65" t="n">
        <v>107</v>
      </c>
    </row>
    <row r="824">
      <c r="A824" s="64" t="n">
        <v>46216</v>
      </c>
      <c r="B824" s="65">
        <f>'⚙ Настройки'!$A$2</f>
        <v/>
      </c>
      <c r="C824" s="66" t="n">
        <v>2601</v>
      </c>
      <c r="D824" s="65" t="n">
        <v>11893</v>
      </c>
      <c r="E824" s="65" t="n">
        <v>220</v>
      </c>
      <c r="F824" s="65" t="n">
        <v>99</v>
      </c>
    </row>
    <row r="825">
      <c r="A825" s="64" t="n">
        <v>46216</v>
      </c>
      <c r="B825" s="65">
        <f>'⚙ Настройки'!$A$3</f>
        <v/>
      </c>
      <c r="C825" s="66" t="n">
        <v>4733</v>
      </c>
      <c r="D825" s="65" t="n">
        <v>24737</v>
      </c>
      <c r="E825" s="65" t="n">
        <v>481</v>
      </c>
      <c r="F825" s="65" t="n">
        <v>105</v>
      </c>
    </row>
    <row r="826">
      <c r="A826" s="64" t="n">
        <v>46216</v>
      </c>
      <c r="B826" s="65">
        <f>'⚙ Настройки'!$A$4</f>
        <v/>
      </c>
      <c r="C826" s="66" t="n">
        <v>9386</v>
      </c>
      <c r="D826" s="65" t="n">
        <v>42337</v>
      </c>
      <c r="E826" s="65" t="n">
        <v>696</v>
      </c>
      <c r="F826" s="65" t="n">
        <v>226</v>
      </c>
    </row>
    <row r="827">
      <c r="A827" s="64" t="n">
        <v>46217</v>
      </c>
      <c r="B827" s="65">
        <f>'⚙ Настройки'!$A$2</f>
        <v/>
      </c>
      <c r="C827" s="66" t="n">
        <v>3696</v>
      </c>
      <c r="D827" s="65" t="n">
        <v>17887</v>
      </c>
      <c r="E827" s="65" t="n">
        <v>385</v>
      </c>
      <c r="F827" s="65" t="n">
        <v>104</v>
      </c>
    </row>
    <row r="828">
      <c r="A828" s="64" t="n">
        <v>46217</v>
      </c>
      <c r="B828" s="65">
        <f>'⚙ Настройки'!$A$3</f>
        <v/>
      </c>
      <c r="C828" s="66" t="n">
        <v>4915</v>
      </c>
      <c r="D828" s="65" t="n">
        <v>22379</v>
      </c>
      <c r="E828" s="65" t="n">
        <v>380</v>
      </c>
      <c r="F828" s="65" t="n">
        <v>99</v>
      </c>
    </row>
    <row r="829">
      <c r="A829" s="64" t="n">
        <v>46217</v>
      </c>
      <c r="B829" s="65">
        <f>'⚙ Настройки'!$A$4</f>
        <v/>
      </c>
      <c r="C829" s="66" t="n">
        <v>7018</v>
      </c>
      <c r="D829" s="65" t="n">
        <v>38801</v>
      </c>
      <c r="E829" s="65" t="n">
        <v>655</v>
      </c>
      <c r="F829" s="65" t="n">
        <v>154</v>
      </c>
    </row>
    <row r="830">
      <c r="A830" s="64" t="n">
        <v>46218</v>
      </c>
      <c r="B830" s="65">
        <f>'⚙ Настройки'!$A$2</f>
        <v/>
      </c>
      <c r="C830" s="66" t="n">
        <v>3015</v>
      </c>
      <c r="D830" s="65" t="n">
        <v>12873</v>
      </c>
      <c r="E830" s="65" t="n">
        <v>185</v>
      </c>
      <c r="F830" s="65" t="n">
        <v>99</v>
      </c>
    </row>
    <row r="831">
      <c r="A831" s="64" t="n">
        <v>46218</v>
      </c>
      <c r="B831" s="65">
        <f>'⚙ Настройки'!$A$3</f>
        <v/>
      </c>
      <c r="C831" s="66" t="n">
        <v>5948</v>
      </c>
      <c r="D831" s="65" t="n">
        <v>28083</v>
      </c>
      <c r="E831" s="65" t="n">
        <v>520</v>
      </c>
      <c r="F831" s="65" t="n">
        <v>139</v>
      </c>
    </row>
    <row r="832">
      <c r="A832" s="64" t="n">
        <v>46218</v>
      </c>
      <c r="B832" s="65">
        <f>'⚙ Настройки'!$A$4</f>
        <v/>
      </c>
      <c r="C832" s="66" t="n">
        <v>7231</v>
      </c>
      <c r="D832" s="65" t="n">
        <v>34495</v>
      </c>
      <c r="E832" s="65" t="n">
        <v>750</v>
      </c>
      <c r="F832" s="65" t="n">
        <v>98</v>
      </c>
    </row>
    <row r="833">
      <c r="A833" s="64" t="n">
        <v>46219</v>
      </c>
      <c r="B833" s="65">
        <f>'⚙ Настройки'!$A$2</f>
        <v/>
      </c>
      <c r="C833" s="66" t="n">
        <v>3290</v>
      </c>
      <c r="D833" s="65" t="n">
        <v>16936</v>
      </c>
      <c r="E833" s="65" t="n">
        <v>245</v>
      </c>
      <c r="F833" s="65" t="n">
        <v>90</v>
      </c>
    </row>
    <row r="834">
      <c r="A834" s="64" t="n">
        <v>46219</v>
      </c>
      <c r="B834" s="65">
        <f>'⚙ Настройки'!$A$3</f>
        <v/>
      </c>
      <c r="C834" s="66" t="n">
        <v>5015</v>
      </c>
      <c r="D834" s="65" t="n">
        <v>26280</v>
      </c>
      <c r="E834" s="65" t="n">
        <v>555</v>
      </c>
      <c r="F834" s="65" t="n">
        <v>103</v>
      </c>
    </row>
    <row r="835">
      <c r="A835" s="64" t="n">
        <v>46219</v>
      </c>
      <c r="B835" s="65">
        <f>'⚙ Настройки'!$A$4</f>
        <v/>
      </c>
      <c r="C835" s="66" t="n">
        <v>7959</v>
      </c>
      <c r="D835" s="65" t="n">
        <v>35191</v>
      </c>
      <c r="E835" s="65" t="n">
        <v>543</v>
      </c>
      <c r="F835" s="65" t="n">
        <v>183</v>
      </c>
    </row>
    <row r="836">
      <c r="A836" s="64" t="n">
        <v>46220</v>
      </c>
      <c r="B836" s="65">
        <f>'⚙ Настройки'!$A$2</f>
        <v/>
      </c>
      <c r="C836" s="66" t="n">
        <v>2613</v>
      </c>
      <c r="D836" s="65" t="n">
        <v>12264</v>
      </c>
      <c r="E836" s="65" t="n">
        <v>264</v>
      </c>
      <c r="F836" s="65" t="n">
        <v>123</v>
      </c>
    </row>
    <row r="837">
      <c r="A837" s="64" t="n">
        <v>46220</v>
      </c>
      <c r="B837" s="65">
        <f>'⚙ Настройки'!$A$3</f>
        <v/>
      </c>
      <c r="C837" s="66" t="n">
        <v>5014</v>
      </c>
      <c r="D837" s="65" t="n">
        <v>21637</v>
      </c>
      <c r="E837" s="65" t="n">
        <v>347</v>
      </c>
      <c r="F837" s="65" t="n">
        <v>159</v>
      </c>
    </row>
    <row r="838">
      <c r="A838" s="64" t="n">
        <v>46220</v>
      </c>
      <c r="B838" s="65">
        <f>'⚙ Настройки'!$A$4</f>
        <v/>
      </c>
      <c r="C838" s="66" t="n">
        <v>8100</v>
      </c>
      <c r="D838" s="65" t="n">
        <v>39602</v>
      </c>
      <c r="E838" s="65" t="n">
        <v>773</v>
      </c>
      <c r="F838" s="65" t="n">
        <v>133</v>
      </c>
    </row>
    <row r="839">
      <c r="A839" s="64" t="n">
        <v>46221</v>
      </c>
      <c r="B839" s="65">
        <f>'⚙ Настройки'!$A$2</f>
        <v/>
      </c>
      <c r="C839" s="66" t="n">
        <v>2057</v>
      </c>
      <c r="D839" s="65" t="n">
        <v>9502</v>
      </c>
      <c r="E839" s="65" t="n">
        <v>172</v>
      </c>
      <c r="F839" s="65" t="n">
        <v>62</v>
      </c>
    </row>
    <row r="840">
      <c r="A840" s="64" t="n">
        <v>46221</v>
      </c>
      <c r="B840" s="65">
        <f>'⚙ Настройки'!$A$3</f>
        <v/>
      </c>
      <c r="C840" s="66" t="n">
        <v>4425</v>
      </c>
      <c r="D840" s="65" t="n">
        <v>22682</v>
      </c>
      <c r="E840" s="65" t="n">
        <v>406</v>
      </c>
      <c r="F840" s="65" t="n">
        <v>91</v>
      </c>
    </row>
    <row r="841">
      <c r="A841" s="64" t="n">
        <v>46221</v>
      </c>
      <c r="B841" s="65">
        <f>'⚙ Настройки'!$A$4</f>
        <v/>
      </c>
      <c r="C841" s="66" t="n">
        <v>7014</v>
      </c>
      <c r="D841" s="65" t="n">
        <v>37772</v>
      </c>
      <c r="E841" s="65" t="n">
        <v>811</v>
      </c>
      <c r="F841" s="65" t="n">
        <v>126</v>
      </c>
    </row>
    <row r="842">
      <c r="A842" s="64" t="n">
        <v>46222</v>
      </c>
      <c r="B842" s="65">
        <f>'⚙ Настройки'!$A$2</f>
        <v/>
      </c>
      <c r="C842" s="66" t="n">
        <v>2803</v>
      </c>
      <c r="D842" s="65" t="n">
        <v>14716</v>
      </c>
      <c r="E842" s="65" t="n">
        <v>242</v>
      </c>
      <c r="F842" s="65" t="n">
        <v>112</v>
      </c>
    </row>
    <row r="843">
      <c r="A843" s="64" t="n">
        <v>46222</v>
      </c>
      <c r="B843" s="65">
        <f>'⚙ Настройки'!$A$3</f>
        <v/>
      </c>
      <c r="C843" s="66" t="n">
        <v>3766</v>
      </c>
      <c r="D843" s="65" t="n">
        <v>17568</v>
      </c>
      <c r="E843" s="65" t="n">
        <v>262</v>
      </c>
      <c r="F843" s="65" t="n">
        <v>80</v>
      </c>
    </row>
    <row r="844">
      <c r="A844" s="64" t="n">
        <v>46222</v>
      </c>
      <c r="B844" s="65">
        <f>'⚙ Настройки'!$A$4</f>
        <v/>
      </c>
      <c r="C844" s="66" t="n">
        <v>7348</v>
      </c>
      <c r="D844" s="65" t="n">
        <v>40409</v>
      </c>
      <c r="E844" s="65" t="n">
        <v>834</v>
      </c>
      <c r="F844" s="65" t="n">
        <v>148</v>
      </c>
    </row>
    <row r="845">
      <c r="A845" s="64" t="n">
        <v>46223</v>
      </c>
      <c r="B845" s="65">
        <f>'⚙ Настройки'!$A$2</f>
        <v/>
      </c>
      <c r="C845" s="66" t="n">
        <v>2683</v>
      </c>
      <c r="D845" s="65" t="n">
        <v>11497</v>
      </c>
      <c r="E845" s="65" t="n">
        <v>233</v>
      </c>
      <c r="F845" s="65" t="n">
        <v>77</v>
      </c>
    </row>
    <row r="846">
      <c r="A846" s="64" t="n">
        <v>46223</v>
      </c>
      <c r="B846" s="65">
        <f>'⚙ Настройки'!$A$3</f>
        <v/>
      </c>
      <c r="C846" s="66" t="n">
        <v>6514</v>
      </c>
      <c r="D846" s="65" t="n">
        <v>35246</v>
      </c>
      <c r="E846" s="65" t="n">
        <v>608</v>
      </c>
      <c r="F846" s="65" t="n">
        <v>212</v>
      </c>
    </row>
    <row r="847">
      <c r="A847" s="64" t="n">
        <v>46223</v>
      </c>
      <c r="B847" s="65">
        <f>'⚙ Настройки'!$A$4</f>
        <v/>
      </c>
      <c r="C847" s="66" t="n">
        <v>10610</v>
      </c>
      <c r="D847" s="65" t="n">
        <v>46500</v>
      </c>
      <c r="E847" s="65" t="n">
        <v>901</v>
      </c>
      <c r="F847" s="65" t="n">
        <v>203</v>
      </c>
    </row>
    <row r="848">
      <c r="A848" s="64" t="n">
        <v>46224</v>
      </c>
      <c r="B848" s="65">
        <f>'⚙ Настройки'!$A$2</f>
        <v/>
      </c>
      <c r="C848" s="66" t="n">
        <v>2613</v>
      </c>
      <c r="D848" s="65" t="n">
        <v>11328</v>
      </c>
      <c r="E848" s="65" t="n">
        <v>226</v>
      </c>
      <c r="F848" s="65" t="n">
        <v>90</v>
      </c>
    </row>
    <row r="849">
      <c r="A849" s="64" t="n">
        <v>46224</v>
      </c>
      <c r="B849" s="65">
        <f>'⚙ Настройки'!$A$3</f>
        <v/>
      </c>
      <c r="C849" s="66" t="n">
        <v>6056</v>
      </c>
      <c r="D849" s="65" t="n">
        <v>26125</v>
      </c>
      <c r="E849" s="65" t="n">
        <v>481</v>
      </c>
      <c r="F849" s="65" t="n">
        <v>111</v>
      </c>
    </row>
    <row r="850">
      <c r="A850" s="64" t="n">
        <v>46224</v>
      </c>
      <c r="B850" s="65">
        <f>'⚙ Настройки'!$A$4</f>
        <v/>
      </c>
      <c r="C850" s="66" t="n">
        <v>6809</v>
      </c>
      <c r="D850" s="65" t="n">
        <v>35575</v>
      </c>
      <c r="E850" s="65" t="n">
        <v>756</v>
      </c>
      <c r="F850" s="65" t="n">
        <v>147</v>
      </c>
    </row>
    <row r="851">
      <c r="A851" s="64" t="n">
        <v>46225</v>
      </c>
      <c r="B851" s="65">
        <f>'⚙ Настройки'!$A$2</f>
        <v/>
      </c>
      <c r="C851" s="66" t="n">
        <v>3892</v>
      </c>
      <c r="D851" s="65" t="n">
        <v>18788</v>
      </c>
      <c r="E851" s="65" t="n">
        <v>297</v>
      </c>
      <c r="F851" s="65" t="n">
        <v>192</v>
      </c>
    </row>
    <row r="852">
      <c r="A852" s="64" t="n">
        <v>46225</v>
      </c>
      <c r="B852" s="65">
        <f>'⚙ Настройки'!$A$3</f>
        <v/>
      </c>
      <c r="C852" s="66" t="n">
        <v>7054</v>
      </c>
      <c r="D852" s="65" t="n">
        <v>37747</v>
      </c>
      <c r="E852" s="65" t="n">
        <v>828</v>
      </c>
      <c r="F852" s="65" t="n">
        <v>128</v>
      </c>
    </row>
    <row r="853">
      <c r="A853" s="64" t="n">
        <v>46225</v>
      </c>
      <c r="B853" s="65">
        <f>'⚙ Настройки'!$A$4</f>
        <v/>
      </c>
      <c r="C853" s="66" t="n">
        <v>9748</v>
      </c>
      <c r="D853" s="65" t="n">
        <v>45293</v>
      </c>
      <c r="E853" s="65" t="n">
        <v>874</v>
      </c>
      <c r="F853" s="65" t="n">
        <v>206</v>
      </c>
    </row>
    <row r="854">
      <c r="A854" s="64" t="n">
        <v>46226</v>
      </c>
      <c r="B854" s="65">
        <f>'⚙ Настройки'!$A$2</f>
        <v/>
      </c>
      <c r="C854" s="66" t="n">
        <v>3011</v>
      </c>
      <c r="D854" s="65" t="n">
        <v>16514</v>
      </c>
      <c r="E854" s="65" t="n">
        <v>276</v>
      </c>
      <c r="F854" s="65" t="n">
        <v>85</v>
      </c>
    </row>
    <row r="855">
      <c r="A855" s="64" t="n">
        <v>46226</v>
      </c>
      <c r="B855" s="65">
        <f>'⚙ Настройки'!$A$3</f>
        <v/>
      </c>
      <c r="C855" s="66" t="n">
        <v>5012</v>
      </c>
      <c r="D855" s="65" t="n">
        <v>21809</v>
      </c>
      <c r="E855" s="65" t="n">
        <v>374</v>
      </c>
      <c r="F855" s="65" t="n">
        <v>146</v>
      </c>
    </row>
    <row r="856">
      <c r="A856" s="64" t="n">
        <v>46226</v>
      </c>
      <c r="B856" s="65">
        <f>'⚙ Настройки'!$A$4</f>
        <v/>
      </c>
      <c r="C856" s="66" t="n">
        <v>7427</v>
      </c>
      <c r="D856" s="65" t="n">
        <v>39967</v>
      </c>
      <c r="E856" s="65" t="n">
        <v>874</v>
      </c>
      <c r="F856" s="65" t="n">
        <v>129</v>
      </c>
    </row>
    <row r="857">
      <c r="A857" s="64" t="n">
        <v>46227</v>
      </c>
      <c r="B857" s="65">
        <f>'⚙ Настройки'!$A$2</f>
        <v/>
      </c>
      <c r="C857" s="66" t="n">
        <v>3819</v>
      </c>
      <c r="D857" s="65" t="n">
        <v>16553</v>
      </c>
      <c r="E857" s="65" t="n">
        <v>326</v>
      </c>
      <c r="F857" s="65" t="n">
        <v>158</v>
      </c>
    </row>
    <row r="858">
      <c r="A858" s="64" t="n">
        <v>46227</v>
      </c>
      <c r="B858" s="65">
        <f>'⚙ Настройки'!$A$3</f>
        <v/>
      </c>
      <c r="C858" s="66" t="n">
        <v>7704</v>
      </c>
      <c r="D858" s="65" t="n">
        <v>36037</v>
      </c>
      <c r="E858" s="65" t="n">
        <v>728</v>
      </c>
      <c r="F858" s="65" t="n">
        <v>233</v>
      </c>
    </row>
    <row r="859">
      <c r="A859" s="64" t="n">
        <v>46227</v>
      </c>
      <c r="B859" s="65">
        <f>'⚙ Настройки'!$A$4</f>
        <v/>
      </c>
      <c r="C859" s="66" t="n">
        <v>9735</v>
      </c>
      <c r="D859" s="65" t="n">
        <v>45453</v>
      </c>
      <c r="E859" s="65" t="n">
        <v>718</v>
      </c>
      <c r="F859" s="65" t="n">
        <v>235</v>
      </c>
    </row>
    <row r="860">
      <c r="A860" s="64" t="n">
        <v>46228</v>
      </c>
      <c r="B860" s="65">
        <f>'⚙ Настройки'!$A$2</f>
        <v/>
      </c>
      <c r="C860" s="66" t="n">
        <v>2504</v>
      </c>
      <c r="D860" s="65" t="n">
        <v>12146</v>
      </c>
      <c r="E860" s="65" t="n">
        <v>247</v>
      </c>
      <c r="F860" s="65" t="n">
        <v>83</v>
      </c>
    </row>
    <row r="861">
      <c r="A861" s="64" t="n">
        <v>46228</v>
      </c>
      <c r="B861" s="65">
        <f>'⚙ Настройки'!$A$3</f>
        <v/>
      </c>
      <c r="C861" s="66" t="n">
        <v>4994</v>
      </c>
      <c r="D861" s="65" t="n">
        <v>27222</v>
      </c>
      <c r="E861" s="65" t="n">
        <v>433</v>
      </c>
      <c r="F861" s="65" t="n">
        <v>119</v>
      </c>
    </row>
    <row r="862">
      <c r="A862" s="64" t="n">
        <v>46228</v>
      </c>
      <c r="B862" s="65">
        <f>'⚙ Настройки'!$A$4</f>
        <v/>
      </c>
      <c r="C862" s="66" t="n">
        <v>4801</v>
      </c>
      <c r="D862" s="65" t="n">
        <v>20770</v>
      </c>
      <c r="E862" s="65" t="n">
        <v>312</v>
      </c>
      <c r="F862" s="65" t="n">
        <v>55</v>
      </c>
    </row>
    <row r="863">
      <c r="A863" s="64" t="n">
        <v>46229</v>
      </c>
      <c r="B863" s="65">
        <f>'⚙ Настройки'!$A$2</f>
        <v/>
      </c>
      <c r="C863" s="66" t="n">
        <v>2154</v>
      </c>
      <c r="D863" s="65" t="n">
        <v>9857</v>
      </c>
      <c r="E863" s="65" t="n">
        <v>214</v>
      </c>
      <c r="F863" s="65" t="n">
        <v>94</v>
      </c>
    </row>
    <row r="864">
      <c r="A864" s="64" t="n">
        <v>46229</v>
      </c>
      <c r="B864" s="65">
        <f>'⚙ Настройки'!$A$3</f>
        <v/>
      </c>
      <c r="C864" s="66" t="n">
        <v>3328</v>
      </c>
      <c r="D864" s="65" t="n">
        <v>15432</v>
      </c>
      <c r="E864" s="65" t="n">
        <v>242</v>
      </c>
      <c r="F864" s="65" t="n">
        <v>85</v>
      </c>
    </row>
    <row r="865">
      <c r="A865" s="64" t="n">
        <v>46229</v>
      </c>
      <c r="B865" s="65">
        <f>'⚙ Настройки'!$A$4</f>
        <v/>
      </c>
      <c r="C865" s="66" t="n">
        <v>5912</v>
      </c>
      <c r="D865" s="65" t="n">
        <v>26469</v>
      </c>
      <c r="E865" s="65" t="n">
        <v>400</v>
      </c>
      <c r="F865" s="65" t="n">
        <v>76</v>
      </c>
    </row>
    <row r="866">
      <c r="A866" s="64" t="n">
        <v>46230</v>
      </c>
      <c r="B866" s="65">
        <f>'⚙ Настройки'!$A$2</f>
        <v/>
      </c>
      <c r="C866" s="66" t="n">
        <v>4153</v>
      </c>
      <c r="D866" s="65" t="n">
        <v>22956</v>
      </c>
      <c r="E866" s="65" t="n">
        <v>369</v>
      </c>
      <c r="F866" s="65" t="n">
        <v>178</v>
      </c>
    </row>
    <row r="867">
      <c r="A867" s="64" t="n">
        <v>46230</v>
      </c>
      <c r="B867" s="65">
        <f>'⚙ Настройки'!$A$3</f>
        <v/>
      </c>
      <c r="C867" s="66" t="n">
        <v>6933</v>
      </c>
      <c r="D867" s="65" t="n">
        <v>33728</v>
      </c>
      <c r="E867" s="65" t="n">
        <v>712</v>
      </c>
      <c r="F867" s="65" t="n">
        <v>136</v>
      </c>
    </row>
    <row r="868">
      <c r="A868" s="64" t="n">
        <v>46230</v>
      </c>
      <c r="B868" s="65">
        <f>'⚙ Настройки'!$A$4</f>
        <v/>
      </c>
      <c r="C868" s="66" t="n">
        <v>7947</v>
      </c>
      <c r="D868" s="65" t="n">
        <v>39347</v>
      </c>
      <c r="E868" s="65" t="n">
        <v>716</v>
      </c>
      <c r="F868" s="65" t="n">
        <v>182</v>
      </c>
    </row>
    <row r="869">
      <c r="A869" s="64" t="n">
        <v>46231</v>
      </c>
      <c r="B869" s="65">
        <f>'⚙ Настройки'!$A$2</f>
        <v/>
      </c>
      <c r="C869" s="66" t="n">
        <v>3919</v>
      </c>
      <c r="D869" s="65" t="n">
        <v>16558</v>
      </c>
      <c r="E869" s="65" t="n">
        <v>331</v>
      </c>
      <c r="F869" s="65" t="n">
        <v>154</v>
      </c>
    </row>
    <row r="870">
      <c r="A870" s="64" t="n">
        <v>46231</v>
      </c>
      <c r="B870" s="65">
        <f>'⚙ Настройки'!$A$3</f>
        <v/>
      </c>
      <c r="C870" s="66" t="n">
        <v>7458</v>
      </c>
      <c r="D870" s="65" t="n">
        <v>34887</v>
      </c>
      <c r="E870" s="65" t="n">
        <v>744</v>
      </c>
      <c r="F870" s="65" t="n">
        <v>124</v>
      </c>
    </row>
    <row r="871">
      <c r="A871" s="64" t="n">
        <v>46231</v>
      </c>
      <c r="B871" s="65">
        <f>'⚙ Настройки'!$A$4</f>
        <v/>
      </c>
      <c r="C871" s="66" t="n">
        <v>7939</v>
      </c>
      <c r="D871" s="65" t="n">
        <v>34857</v>
      </c>
      <c r="E871" s="65" t="n">
        <v>568</v>
      </c>
      <c r="F871" s="65" t="n">
        <v>138</v>
      </c>
    </row>
    <row r="872">
      <c r="A872" s="64" t="n">
        <v>46232</v>
      </c>
      <c r="B872" s="65">
        <f>'⚙ Настройки'!$A$2</f>
        <v/>
      </c>
      <c r="C872" s="66" t="n">
        <v>4161</v>
      </c>
      <c r="D872" s="65" t="n">
        <v>20835</v>
      </c>
      <c r="E872" s="65" t="n">
        <v>332</v>
      </c>
      <c r="F872" s="65" t="n">
        <v>106</v>
      </c>
    </row>
    <row r="873">
      <c r="A873" s="64" t="n">
        <v>46232</v>
      </c>
      <c r="B873" s="65">
        <f>'⚙ Настройки'!$A$3</f>
        <v/>
      </c>
      <c r="C873" s="66" t="n">
        <v>5249</v>
      </c>
      <c r="D873" s="65" t="n">
        <v>23357</v>
      </c>
      <c r="E873" s="65" t="n">
        <v>391</v>
      </c>
      <c r="F873" s="65" t="n">
        <v>93</v>
      </c>
    </row>
    <row r="874">
      <c r="A874" s="64" t="n">
        <v>46232</v>
      </c>
      <c r="B874" s="65">
        <f>'⚙ Настройки'!$A$4</f>
        <v/>
      </c>
      <c r="C874" s="66" t="n">
        <v>10295</v>
      </c>
      <c r="D874" s="65" t="n">
        <v>53221</v>
      </c>
      <c r="E874" s="65" t="n">
        <v>828</v>
      </c>
      <c r="F874" s="65" t="n">
        <v>209</v>
      </c>
    </row>
    <row r="875">
      <c r="A875" s="64" t="n">
        <v>46233</v>
      </c>
      <c r="B875" s="65">
        <f>'⚙ Настройки'!$A$2</f>
        <v/>
      </c>
      <c r="C875" s="66" t="n">
        <v>3729</v>
      </c>
      <c r="D875" s="65" t="n">
        <v>16830</v>
      </c>
      <c r="E875" s="65" t="n">
        <v>325</v>
      </c>
      <c r="F875" s="65" t="n">
        <v>91</v>
      </c>
    </row>
    <row r="876">
      <c r="A876" s="64" t="n">
        <v>46233</v>
      </c>
      <c r="B876" s="65">
        <f>'⚙ Настройки'!$A$3</f>
        <v/>
      </c>
      <c r="C876" s="66" t="n">
        <v>6869</v>
      </c>
      <c r="D876" s="65" t="n">
        <v>29925</v>
      </c>
      <c r="E876" s="65" t="n">
        <v>448</v>
      </c>
      <c r="F876" s="65" t="n">
        <v>164</v>
      </c>
    </row>
    <row r="877">
      <c r="A877" s="64" t="n">
        <v>46233</v>
      </c>
      <c r="B877" s="65">
        <f>'⚙ Настройки'!$A$4</f>
        <v/>
      </c>
      <c r="C877" s="66" t="n">
        <v>8573</v>
      </c>
      <c r="D877" s="65" t="n">
        <v>42457</v>
      </c>
      <c r="E877" s="65" t="n">
        <v>812</v>
      </c>
      <c r="F877" s="65" t="n">
        <v>138</v>
      </c>
    </row>
    <row r="878">
      <c r="A878" s="64" t="n">
        <v>46234</v>
      </c>
      <c r="B878" s="65">
        <f>'⚙ Настройки'!$A$2</f>
        <v/>
      </c>
      <c r="C878" s="66" t="n">
        <v>3450</v>
      </c>
      <c r="D878" s="65" t="n">
        <v>14975</v>
      </c>
      <c r="E878" s="65" t="n">
        <v>293</v>
      </c>
      <c r="F878" s="65" t="n">
        <v>91</v>
      </c>
    </row>
    <row r="879">
      <c r="A879" s="64" t="n">
        <v>46234</v>
      </c>
      <c r="B879" s="65">
        <f>'⚙ Настройки'!$A$3</f>
        <v/>
      </c>
      <c r="C879" s="66" t="n">
        <v>7054</v>
      </c>
      <c r="D879" s="65" t="n">
        <v>29779</v>
      </c>
      <c r="E879" s="65" t="n">
        <v>589</v>
      </c>
      <c r="F879" s="65" t="n">
        <v>239</v>
      </c>
    </row>
    <row r="880">
      <c r="A880" s="64" t="n">
        <v>46234</v>
      </c>
      <c r="B880" s="65">
        <f>'⚙ Настройки'!$A$4</f>
        <v/>
      </c>
      <c r="C880" s="66" t="n">
        <v>10793</v>
      </c>
      <c r="D880" s="65" t="n">
        <v>58967</v>
      </c>
      <c r="E880" s="65" t="n">
        <v>1139</v>
      </c>
      <c r="F880" s="65" t="n">
        <v>134</v>
      </c>
    </row>
    <row r="881">
      <c r="A881" s="64" t="n">
        <v>46235</v>
      </c>
      <c r="B881" s="65">
        <f>'⚙ Настройки'!$A$2</f>
        <v/>
      </c>
      <c r="C881" s="66" t="n">
        <v>2378</v>
      </c>
      <c r="D881" s="65" t="n">
        <v>10641</v>
      </c>
      <c r="E881" s="65" t="n">
        <v>198</v>
      </c>
      <c r="F881" s="65" t="n">
        <v>95</v>
      </c>
    </row>
    <row r="882">
      <c r="A882" s="64" t="n">
        <v>46235</v>
      </c>
      <c r="B882" s="65">
        <f>'⚙ Настройки'!$A$3</f>
        <v/>
      </c>
      <c r="C882" s="66" t="n">
        <v>4648</v>
      </c>
      <c r="D882" s="65" t="n">
        <v>24992</v>
      </c>
      <c r="E882" s="65" t="n">
        <v>460</v>
      </c>
      <c r="F882" s="65" t="n">
        <v>81</v>
      </c>
    </row>
    <row r="883">
      <c r="A883" s="64" t="n">
        <v>46235</v>
      </c>
      <c r="B883" s="65">
        <f>'⚙ Настройки'!$A$4</f>
        <v/>
      </c>
      <c r="C883" s="66" t="n">
        <v>5536</v>
      </c>
      <c r="D883" s="65" t="n">
        <v>30457</v>
      </c>
      <c r="E883" s="65" t="n">
        <v>533</v>
      </c>
      <c r="F883" s="65" t="n">
        <v>126</v>
      </c>
    </row>
    <row r="884">
      <c r="A884" s="64" t="n">
        <v>46236</v>
      </c>
      <c r="B884" s="65">
        <f>'⚙ Настройки'!$A$2</f>
        <v/>
      </c>
      <c r="C884" s="66" t="n">
        <v>2103</v>
      </c>
      <c r="D884" s="65" t="n">
        <v>9675</v>
      </c>
      <c r="E884" s="65" t="n">
        <v>141</v>
      </c>
      <c r="F884" s="65" t="n">
        <v>54</v>
      </c>
    </row>
    <row r="885">
      <c r="A885" s="64" t="n">
        <v>46236</v>
      </c>
      <c r="B885" s="65">
        <f>'⚙ Настройки'!$A$3</f>
        <v/>
      </c>
      <c r="C885" s="66" t="n">
        <v>3567</v>
      </c>
      <c r="D885" s="65" t="n">
        <v>15145</v>
      </c>
      <c r="E885" s="65" t="n">
        <v>294</v>
      </c>
      <c r="F885" s="65" t="n">
        <v>96</v>
      </c>
    </row>
    <row r="886">
      <c r="A886" s="64" t="n">
        <v>46236</v>
      </c>
      <c r="B886" s="65">
        <f>'⚙ Настройки'!$A$4</f>
        <v/>
      </c>
      <c r="C886" s="66" t="n">
        <v>6261</v>
      </c>
      <c r="D886" s="65" t="n">
        <v>28115</v>
      </c>
      <c r="E886" s="65" t="n">
        <v>415</v>
      </c>
      <c r="F886" s="65" t="n">
        <v>142</v>
      </c>
    </row>
    <row r="887">
      <c r="A887" s="64" t="n">
        <v>46237</v>
      </c>
      <c r="B887" s="65">
        <f>'⚙ Настройки'!$A$2</f>
        <v/>
      </c>
      <c r="C887" s="66" t="n">
        <v>2889</v>
      </c>
      <c r="D887" s="65" t="n">
        <v>15907</v>
      </c>
      <c r="E887" s="65" t="n">
        <v>236</v>
      </c>
      <c r="F887" s="65" t="n">
        <v>73</v>
      </c>
    </row>
    <row r="888">
      <c r="A888" s="64" t="n">
        <v>46237</v>
      </c>
      <c r="B888" s="65">
        <f>'⚙ Настройки'!$A$3</f>
        <v/>
      </c>
      <c r="C888" s="66" t="n">
        <v>5354</v>
      </c>
      <c r="D888" s="65" t="n">
        <v>25889</v>
      </c>
      <c r="E888" s="65" t="n">
        <v>536</v>
      </c>
      <c r="F888" s="65" t="n">
        <v>108</v>
      </c>
    </row>
    <row r="889">
      <c r="A889" s="64" t="n">
        <v>46237</v>
      </c>
      <c r="B889" s="65">
        <f>'⚙ Настройки'!$A$4</f>
        <v/>
      </c>
      <c r="C889" s="66" t="n">
        <v>9042</v>
      </c>
      <c r="D889" s="65" t="n">
        <v>47482</v>
      </c>
      <c r="E889" s="65" t="n">
        <v>752</v>
      </c>
      <c r="F889" s="65" t="n">
        <v>150</v>
      </c>
    </row>
    <row r="890">
      <c r="A890" s="64" t="n">
        <v>46238</v>
      </c>
      <c r="B890" s="65">
        <f>'⚙ Настройки'!$A$2</f>
        <v/>
      </c>
      <c r="C890" s="66" t="n">
        <v>3244</v>
      </c>
      <c r="D890" s="65" t="n">
        <v>17209</v>
      </c>
      <c r="E890" s="65" t="n">
        <v>245</v>
      </c>
      <c r="F890" s="65" t="n">
        <v>174</v>
      </c>
    </row>
    <row r="891">
      <c r="A891" s="64" t="n">
        <v>46238</v>
      </c>
      <c r="B891" s="65">
        <f>'⚙ Настройки'!$A$3</f>
        <v/>
      </c>
      <c r="C891" s="66" t="n">
        <v>5108</v>
      </c>
      <c r="D891" s="65" t="n">
        <v>28181</v>
      </c>
      <c r="E891" s="65" t="n">
        <v>419</v>
      </c>
      <c r="F891" s="65" t="n">
        <v>89</v>
      </c>
    </row>
    <row r="892">
      <c r="A892" s="64" t="n">
        <v>46238</v>
      </c>
      <c r="B892" s="65">
        <f>'⚙ Настройки'!$A$4</f>
        <v/>
      </c>
      <c r="C892" s="66" t="n">
        <v>7399</v>
      </c>
      <c r="D892" s="65" t="n">
        <v>40196</v>
      </c>
      <c r="E892" s="65" t="n">
        <v>679</v>
      </c>
      <c r="F892" s="65" t="n">
        <v>120</v>
      </c>
    </row>
    <row r="893">
      <c r="A893" s="64" t="n">
        <v>46239</v>
      </c>
      <c r="B893" s="65">
        <f>'⚙ Настройки'!$A$2</f>
        <v/>
      </c>
      <c r="C893" s="66" t="n">
        <v>3860</v>
      </c>
      <c r="D893" s="65" t="n">
        <v>17704</v>
      </c>
      <c r="E893" s="65" t="n">
        <v>347</v>
      </c>
      <c r="F893" s="65" t="n">
        <v>110</v>
      </c>
    </row>
    <row r="894">
      <c r="A894" s="64" t="n">
        <v>46239</v>
      </c>
      <c r="B894" s="65">
        <f>'⚙ Настройки'!$A$3</f>
        <v/>
      </c>
      <c r="C894" s="66" t="n">
        <v>5340</v>
      </c>
      <c r="D894" s="65" t="n">
        <v>25040</v>
      </c>
      <c r="E894" s="65" t="n">
        <v>409</v>
      </c>
      <c r="F894" s="65" t="n">
        <v>100</v>
      </c>
    </row>
    <row r="895">
      <c r="A895" s="64" t="n">
        <v>46239</v>
      </c>
      <c r="B895" s="65">
        <f>'⚙ Настройки'!$A$4</f>
        <v/>
      </c>
      <c r="C895" s="66" t="n">
        <v>11152</v>
      </c>
      <c r="D895" s="65" t="n">
        <v>52286</v>
      </c>
      <c r="E895" s="65" t="n">
        <v>762</v>
      </c>
      <c r="F895" s="65" t="n">
        <v>227</v>
      </c>
    </row>
    <row r="896">
      <c r="A896" s="64" t="n">
        <v>46240</v>
      </c>
      <c r="B896" s="65">
        <f>'⚙ Настройки'!$A$2</f>
        <v/>
      </c>
      <c r="C896" s="66" t="n">
        <v>2759</v>
      </c>
      <c r="D896" s="65" t="n">
        <v>12807</v>
      </c>
      <c r="E896" s="65" t="n">
        <v>217</v>
      </c>
      <c r="F896" s="65" t="n">
        <v>75</v>
      </c>
    </row>
    <row r="897">
      <c r="A897" s="64" t="n">
        <v>46240</v>
      </c>
      <c r="B897" s="65">
        <f>'⚙ Настройки'!$A$3</f>
        <v/>
      </c>
      <c r="C897" s="66" t="n">
        <v>5965</v>
      </c>
      <c r="D897" s="65" t="n">
        <v>31619</v>
      </c>
      <c r="E897" s="65" t="n">
        <v>664</v>
      </c>
      <c r="F897" s="65" t="n">
        <v>125</v>
      </c>
    </row>
    <row r="898">
      <c r="A898" s="64" t="n">
        <v>46240</v>
      </c>
      <c r="B898" s="65">
        <f>'⚙ Настройки'!$A$4</f>
        <v/>
      </c>
      <c r="C898" s="66" t="n">
        <v>10281</v>
      </c>
      <c r="D898" s="65" t="n">
        <v>48093</v>
      </c>
      <c r="E898" s="65" t="n">
        <v>1008</v>
      </c>
      <c r="F898" s="65" t="n">
        <v>119</v>
      </c>
    </row>
    <row r="899">
      <c r="A899" s="64" t="n">
        <v>46241</v>
      </c>
      <c r="B899" s="65">
        <f>'⚙ Настройки'!$A$2</f>
        <v/>
      </c>
      <c r="C899" s="66" t="n">
        <v>4091</v>
      </c>
      <c r="D899" s="65" t="n">
        <v>17522</v>
      </c>
      <c r="E899" s="65" t="n">
        <v>255</v>
      </c>
      <c r="F899" s="65" t="n">
        <v>107</v>
      </c>
    </row>
    <row r="900">
      <c r="A900" s="64" t="n">
        <v>46241</v>
      </c>
      <c r="B900" s="65">
        <f>'⚙ Настройки'!$A$3</f>
        <v/>
      </c>
      <c r="C900" s="66" t="n">
        <v>6951</v>
      </c>
      <c r="D900" s="65" t="n">
        <v>30421</v>
      </c>
      <c r="E900" s="65" t="n">
        <v>657</v>
      </c>
      <c r="F900" s="65" t="n">
        <v>246</v>
      </c>
    </row>
    <row r="901">
      <c r="A901" s="64" t="n">
        <v>46241</v>
      </c>
      <c r="B901" s="65">
        <f>'⚙ Настройки'!$A$4</f>
        <v/>
      </c>
      <c r="C901" s="66" t="n">
        <v>10813</v>
      </c>
      <c r="D901" s="65" t="n">
        <v>57947</v>
      </c>
      <c r="E901" s="65" t="n">
        <v>1249</v>
      </c>
      <c r="F901" s="65" t="n">
        <v>168</v>
      </c>
    </row>
    <row r="902">
      <c r="A902" s="64" t="n">
        <v>46242</v>
      </c>
      <c r="B902" s="65">
        <f>'⚙ Настройки'!$A$2</f>
        <v/>
      </c>
      <c r="C902" s="66" t="n">
        <v>2984</v>
      </c>
      <c r="D902" s="65" t="n">
        <v>12609</v>
      </c>
      <c r="E902" s="65" t="n">
        <v>187</v>
      </c>
      <c r="F902" s="65" t="n">
        <v>133</v>
      </c>
    </row>
    <row r="903">
      <c r="A903" s="64" t="n">
        <v>46242</v>
      </c>
      <c r="B903" s="65">
        <f>'⚙ Настройки'!$A$3</f>
        <v/>
      </c>
      <c r="C903" s="66" t="n">
        <v>4098</v>
      </c>
      <c r="D903" s="65" t="n">
        <v>21676</v>
      </c>
      <c r="E903" s="65" t="n">
        <v>390</v>
      </c>
      <c r="F903" s="65" t="n">
        <v>68</v>
      </c>
    </row>
    <row r="904">
      <c r="A904" s="64" t="n">
        <v>46242</v>
      </c>
      <c r="B904" s="65">
        <f>'⚙ Настройки'!$A$4</f>
        <v/>
      </c>
      <c r="C904" s="66" t="n">
        <v>5590</v>
      </c>
      <c r="D904" s="65" t="n">
        <v>29384</v>
      </c>
      <c r="E904" s="65" t="n">
        <v>615</v>
      </c>
      <c r="F904" s="65" t="n">
        <v>115</v>
      </c>
    </row>
    <row r="905">
      <c r="A905" s="64" t="n">
        <v>46243</v>
      </c>
      <c r="B905" s="65">
        <f>'⚙ Настройки'!$A$2</f>
        <v/>
      </c>
      <c r="C905" s="66" t="n">
        <v>1994</v>
      </c>
      <c r="D905" s="65" t="n">
        <v>10952</v>
      </c>
      <c r="E905" s="65" t="n">
        <v>228</v>
      </c>
      <c r="F905" s="65" t="n">
        <v>54</v>
      </c>
    </row>
    <row r="906">
      <c r="A906" s="64" t="n">
        <v>46243</v>
      </c>
      <c r="B906" s="65">
        <f>'⚙ Настройки'!$A$3</f>
        <v/>
      </c>
      <c r="C906" s="66" t="n">
        <v>5122</v>
      </c>
      <c r="D906" s="65" t="n">
        <v>28123</v>
      </c>
      <c r="E906" s="65" t="n">
        <v>435</v>
      </c>
      <c r="F906" s="65" t="n">
        <v>88</v>
      </c>
    </row>
    <row r="907">
      <c r="A907" s="64" t="n">
        <v>46243</v>
      </c>
      <c r="B907" s="65">
        <f>'⚙ Настройки'!$A$4</f>
        <v/>
      </c>
      <c r="C907" s="66" t="n">
        <v>5091</v>
      </c>
      <c r="D907" s="65" t="n">
        <v>25985</v>
      </c>
      <c r="E907" s="65" t="n">
        <v>556</v>
      </c>
      <c r="F907" s="65" t="n">
        <v>83</v>
      </c>
    </row>
    <row r="908">
      <c r="A908" s="64" t="n">
        <v>46244</v>
      </c>
      <c r="B908" s="65">
        <f>'⚙ Настройки'!$A$2</f>
        <v/>
      </c>
      <c r="C908" s="66" t="n">
        <v>3775</v>
      </c>
      <c r="D908" s="65" t="n">
        <v>16449</v>
      </c>
      <c r="E908" s="65" t="n">
        <v>313</v>
      </c>
      <c r="F908" s="65" t="n">
        <v>155</v>
      </c>
    </row>
    <row r="909">
      <c r="A909" s="64" t="n">
        <v>46244</v>
      </c>
      <c r="B909" s="65">
        <f>'⚙ Настройки'!$A$3</f>
        <v/>
      </c>
      <c r="C909" s="66" t="n">
        <v>6939</v>
      </c>
      <c r="D909" s="65" t="n">
        <v>34089</v>
      </c>
      <c r="E909" s="65" t="n">
        <v>607</v>
      </c>
      <c r="F909" s="65" t="n">
        <v>207</v>
      </c>
    </row>
    <row r="910">
      <c r="A910" s="64" t="n">
        <v>46244</v>
      </c>
      <c r="B910" s="65">
        <f>'⚙ Настройки'!$A$4</f>
        <v/>
      </c>
      <c r="C910" s="66" t="n">
        <v>10262</v>
      </c>
      <c r="D910" s="65" t="n">
        <v>55631</v>
      </c>
      <c r="E910" s="65" t="n">
        <v>980</v>
      </c>
      <c r="F910" s="65" t="n">
        <v>191</v>
      </c>
    </row>
    <row r="911">
      <c r="A911" s="64" t="n">
        <v>46245</v>
      </c>
      <c r="B911" s="65">
        <f>'⚙ Настройки'!$A$2</f>
        <v/>
      </c>
      <c r="C911" s="66" t="n">
        <v>2833</v>
      </c>
      <c r="D911" s="65" t="n">
        <v>15242</v>
      </c>
      <c r="E911" s="65" t="n">
        <v>306</v>
      </c>
      <c r="F911" s="65" t="n">
        <v>126</v>
      </c>
    </row>
    <row r="912">
      <c r="A912" s="64" t="n">
        <v>46245</v>
      </c>
      <c r="B912" s="65">
        <f>'⚙ Настройки'!$A$3</f>
        <v/>
      </c>
      <c r="C912" s="66" t="n">
        <v>7474</v>
      </c>
      <c r="D912" s="65" t="n">
        <v>36708</v>
      </c>
      <c r="E912" s="65" t="n">
        <v>770</v>
      </c>
      <c r="F912" s="65" t="n">
        <v>149</v>
      </c>
    </row>
    <row r="913">
      <c r="A913" s="64" t="n">
        <v>46245</v>
      </c>
      <c r="B913" s="65">
        <f>'⚙ Настройки'!$A$4</f>
        <v/>
      </c>
      <c r="C913" s="66" t="n">
        <v>7850</v>
      </c>
      <c r="D913" s="65" t="n">
        <v>35718</v>
      </c>
      <c r="E913" s="65" t="n">
        <v>603</v>
      </c>
      <c r="F913" s="65" t="n">
        <v>179</v>
      </c>
    </row>
    <row r="914">
      <c r="A914" s="64" t="n">
        <v>46246</v>
      </c>
      <c r="B914" s="65">
        <f>'⚙ Настройки'!$A$2</f>
        <v/>
      </c>
      <c r="C914" s="66" t="n">
        <v>3224</v>
      </c>
      <c r="D914" s="65" t="n">
        <v>15694</v>
      </c>
      <c r="E914" s="65" t="n">
        <v>222</v>
      </c>
      <c r="F914" s="65" t="n">
        <v>136</v>
      </c>
    </row>
    <row r="915">
      <c r="A915" s="64" t="n">
        <v>46246</v>
      </c>
      <c r="B915" s="65">
        <f>'⚙ Настройки'!$A$3</f>
        <v/>
      </c>
      <c r="C915" s="66" t="n">
        <v>5027</v>
      </c>
      <c r="D915" s="65" t="n">
        <v>25166</v>
      </c>
      <c r="E915" s="65" t="n">
        <v>396</v>
      </c>
      <c r="F915" s="65" t="n">
        <v>83</v>
      </c>
    </row>
    <row r="916">
      <c r="A916" s="64" t="n">
        <v>46246</v>
      </c>
      <c r="B916" s="65">
        <f>'⚙ Настройки'!$A$4</f>
        <v/>
      </c>
      <c r="C916" s="66" t="n">
        <v>11447</v>
      </c>
      <c r="D916" s="65" t="n">
        <v>54798</v>
      </c>
      <c r="E916" s="65" t="n">
        <v>846</v>
      </c>
      <c r="F916" s="65" t="n">
        <v>299</v>
      </c>
    </row>
    <row r="917">
      <c r="A917" s="64" t="n">
        <v>46247</v>
      </c>
      <c r="B917" s="65">
        <f>'⚙ Настройки'!$A$2</f>
        <v/>
      </c>
      <c r="C917" s="66" t="n">
        <v>3162</v>
      </c>
      <c r="D917" s="65" t="n">
        <v>14183</v>
      </c>
      <c r="E917" s="65" t="n">
        <v>240</v>
      </c>
      <c r="F917" s="65" t="n">
        <v>126</v>
      </c>
    </row>
    <row r="918">
      <c r="A918" s="64" t="n">
        <v>46247</v>
      </c>
      <c r="B918" s="65">
        <f>'⚙ Настройки'!$A$3</f>
        <v/>
      </c>
      <c r="C918" s="66" t="n">
        <v>6671</v>
      </c>
      <c r="D918" s="65" t="n">
        <v>36530</v>
      </c>
      <c r="E918" s="65" t="n">
        <v>561</v>
      </c>
      <c r="F918" s="65" t="n">
        <v>163</v>
      </c>
    </row>
    <row r="919">
      <c r="A919" s="64" t="n">
        <v>46247</v>
      </c>
      <c r="B919" s="65">
        <f>'⚙ Настройки'!$A$4</f>
        <v/>
      </c>
      <c r="C919" s="66" t="n">
        <v>9930</v>
      </c>
      <c r="D919" s="65" t="n">
        <v>47088</v>
      </c>
      <c r="E919" s="65" t="n">
        <v>668</v>
      </c>
      <c r="F919" s="65" t="n">
        <v>162</v>
      </c>
    </row>
    <row r="920">
      <c r="A920" s="64" t="n">
        <v>46248</v>
      </c>
      <c r="B920" s="65">
        <f>'⚙ Настройки'!$A$2</f>
        <v/>
      </c>
      <c r="C920" s="66" t="n">
        <v>4375</v>
      </c>
      <c r="D920" s="65" t="n">
        <v>20811</v>
      </c>
      <c r="E920" s="65" t="n">
        <v>433</v>
      </c>
      <c r="F920" s="65" t="n">
        <v>136</v>
      </c>
    </row>
    <row r="921">
      <c r="A921" s="64" t="n">
        <v>46248</v>
      </c>
      <c r="B921" s="65">
        <f>'⚙ Настройки'!$A$3</f>
        <v/>
      </c>
      <c r="C921" s="66" t="n">
        <v>6289</v>
      </c>
      <c r="D921" s="65" t="n">
        <v>29303</v>
      </c>
      <c r="E921" s="65" t="n">
        <v>501</v>
      </c>
      <c r="F921" s="65" t="n">
        <v>154</v>
      </c>
    </row>
    <row r="922">
      <c r="A922" s="64" t="n">
        <v>46248</v>
      </c>
      <c r="B922" s="65">
        <f>'⚙ Настройки'!$A$4</f>
        <v/>
      </c>
      <c r="C922" s="66" t="n">
        <v>10344</v>
      </c>
      <c r="D922" s="65" t="n">
        <v>48740</v>
      </c>
      <c r="E922" s="65" t="n">
        <v>774</v>
      </c>
      <c r="F922" s="65" t="n">
        <v>165</v>
      </c>
    </row>
    <row r="923">
      <c r="A923" s="64" t="n">
        <v>46249</v>
      </c>
      <c r="B923" s="65">
        <f>'⚙ Настройки'!$A$2</f>
        <v/>
      </c>
      <c r="C923" s="66" t="n">
        <v>1905</v>
      </c>
      <c r="D923" s="65" t="n">
        <v>9303</v>
      </c>
      <c r="E923" s="65" t="n">
        <v>163</v>
      </c>
      <c r="F923" s="65" t="n">
        <v>53</v>
      </c>
    </row>
    <row r="924">
      <c r="A924" s="64" t="n">
        <v>46249</v>
      </c>
      <c r="B924" s="65">
        <f>'⚙ Настройки'!$A$3</f>
        <v/>
      </c>
      <c r="C924" s="66" t="n">
        <v>3373</v>
      </c>
      <c r="D924" s="65" t="n">
        <v>15707</v>
      </c>
      <c r="E924" s="65" t="n">
        <v>262</v>
      </c>
      <c r="F924" s="65" t="n">
        <v>119</v>
      </c>
    </row>
    <row r="925">
      <c r="A925" s="64" t="n">
        <v>46249</v>
      </c>
      <c r="B925" s="65">
        <f>'⚙ Настройки'!$A$4</f>
        <v/>
      </c>
      <c r="C925" s="66" t="n">
        <v>6809</v>
      </c>
      <c r="D925" s="65" t="n">
        <v>31082</v>
      </c>
      <c r="E925" s="65" t="n">
        <v>471</v>
      </c>
      <c r="F925" s="65" t="n">
        <v>87</v>
      </c>
    </row>
    <row r="926">
      <c r="A926" s="64" t="n">
        <v>46250</v>
      </c>
      <c r="B926" s="65">
        <f>'⚙ Настройки'!$A$2</f>
        <v/>
      </c>
      <c r="C926" s="66" t="n">
        <v>2300</v>
      </c>
      <c r="D926" s="65" t="n">
        <v>10347</v>
      </c>
      <c r="E926" s="65" t="n">
        <v>189</v>
      </c>
      <c r="F926" s="65" t="n">
        <v>101</v>
      </c>
    </row>
    <row r="927">
      <c r="A927" s="64" t="n">
        <v>46250</v>
      </c>
      <c r="B927" s="65">
        <f>'⚙ Настройки'!$A$3</f>
        <v/>
      </c>
      <c r="C927" s="66" t="n">
        <v>4392</v>
      </c>
      <c r="D927" s="65" t="n">
        <v>18362</v>
      </c>
      <c r="E927" s="65" t="n">
        <v>264</v>
      </c>
      <c r="F927" s="65" t="n">
        <v>133</v>
      </c>
    </row>
    <row r="928">
      <c r="A928" s="64" t="n">
        <v>46250</v>
      </c>
      <c r="B928" s="65">
        <f>'⚙ Настройки'!$A$4</f>
        <v/>
      </c>
      <c r="C928" s="66" t="n">
        <v>7919</v>
      </c>
      <c r="D928" s="65" t="n">
        <v>35286</v>
      </c>
      <c r="E928" s="65" t="n">
        <v>736</v>
      </c>
      <c r="F928" s="65" t="n">
        <v>141</v>
      </c>
    </row>
    <row r="929">
      <c r="A929" s="64" t="n">
        <v>46251</v>
      </c>
      <c r="B929" s="65">
        <f>'⚙ Настройки'!$A$2</f>
        <v/>
      </c>
      <c r="C929" s="66" t="n">
        <v>4207</v>
      </c>
      <c r="D929" s="65" t="n">
        <v>22685</v>
      </c>
      <c r="E929" s="65" t="n">
        <v>466</v>
      </c>
      <c r="F929" s="65" t="n">
        <v>195</v>
      </c>
    </row>
    <row r="930">
      <c r="A930" s="64" t="n">
        <v>46251</v>
      </c>
      <c r="B930" s="65">
        <f>'⚙ Настройки'!$A$3</f>
        <v/>
      </c>
      <c r="C930" s="66" t="n">
        <v>6959</v>
      </c>
      <c r="D930" s="65" t="n">
        <v>35440</v>
      </c>
      <c r="E930" s="65" t="n">
        <v>574</v>
      </c>
      <c r="F930" s="65" t="n">
        <v>151</v>
      </c>
    </row>
    <row r="931">
      <c r="A931" s="64" t="n">
        <v>46251</v>
      </c>
      <c r="B931" s="65">
        <f>'⚙ Настройки'!$A$4</f>
        <v/>
      </c>
      <c r="C931" s="66" t="n">
        <v>11125</v>
      </c>
      <c r="D931" s="65" t="n">
        <v>58275</v>
      </c>
      <c r="E931" s="65" t="n">
        <v>922</v>
      </c>
      <c r="F931" s="65" t="n">
        <v>164</v>
      </c>
    </row>
    <row r="932">
      <c r="A932" s="64" t="n">
        <v>46252</v>
      </c>
      <c r="B932" s="65">
        <f>'⚙ Настройки'!$A$2</f>
        <v/>
      </c>
      <c r="C932" s="66" t="n">
        <v>2676</v>
      </c>
      <c r="D932" s="65" t="n">
        <v>13929</v>
      </c>
      <c r="E932" s="65" t="n">
        <v>280</v>
      </c>
      <c r="F932" s="65" t="n">
        <v>66</v>
      </c>
    </row>
    <row r="933">
      <c r="A933" s="64" t="n">
        <v>46252</v>
      </c>
      <c r="B933" s="65">
        <f>'⚙ Настройки'!$A$3</f>
        <v/>
      </c>
      <c r="C933" s="66" t="n">
        <v>5654</v>
      </c>
      <c r="D933" s="65" t="n">
        <v>26404</v>
      </c>
      <c r="E933" s="65" t="n">
        <v>481</v>
      </c>
      <c r="F933" s="65" t="n">
        <v>90</v>
      </c>
    </row>
    <row r="934">
      <c r="A934" s="64" t="n">
        <v>46252</v>
      </c>
      <c r="B934" s="65">
        <f>'⚙ Настройки'!$A$4</f>
        <v/>
      </c>
      <c r="C934" s="66" t="n">
        <v>11130</v>
      </c>
      <c r="D934" s="65" t="n">
        <v>60189</v>
      </c>
      <c r="E934" s="65" t="n">
        <v>947</v>
      </c>
      <c r="F934" s="65" t="n">
        <v>282</v>
      </c>
    </row>
    <row r="935">
      <c r="A935" s="64" t="n">
        <v>46253</v>
      </c>
      <c r="B935" s="65">
        <f>'⚙ Настройки'!$A$2</f>
        <v/>
      </c>
      <c r="C935" s="66" t="n">
        <v>2684</v>
      </c>
      <c r="D935" s="65" t="n">
        <v>12815</v>
      </c>
      <c r="E935" s="65" t="n">
        <v>230</v>
      </c>
      <c r="F935" s="65" t="n">
        <v>74</v>
      </c>
    </row>
    <row r="936">
      <c r="A936" s="64" t="n">
        <v>46253</v>
      </c>
      <c r="B936" s="65">
        <f>'⚙ Настройки'!$A$3</f>
        <v/>
      </c>
      <c r="C936" s="66" t="n">
        <v>8004</v>
      </c>
      <c r="D936" s="65" t="n">
        <v>43967</v>
      </c>
      <c r="E936" s="65" t="n">
        <v>813</v>
      </c>
      <c r="F936" s="65" t="n">
        <v>143</v>
      </c>
    </row>
    <row r="937">
      <c r="A937" s="64" t="n">
        <v>46253</v>
      </c>
      <c r="B937" s="65">
        <f>'⚙ Настройки'!$A$4</f>
        <v/>
      </c>
      <c r="C937" s="66" t="n">
        <v>8995</v>
      </c>
      <c r="D937" s="65" t="n">
        <v>47737</v>
      </c>
      <c r="E937" s="65" t="n">
        <v>741</v>
      </c>
      <c r="F937" s="65" t="n">
        <v>119</v>
      </c>
    </row>
    <row r="938">
      <c r="A938" s="64" t="n">
        <v>46254</v>
      </c>
      <c r="B938" s="65">
        <f>'⚙ Настройки'!$A$2</f>
        <v/>
      </c>
      <c r="C938" s="66" t="n">
        <v>3008</v>
      </c>
      <c r="D938" s="65" t="n">
        <v>14346</v>
      </c>
      <c r="E938" s="65" t="n">
        <v>241</v>
      </c>
      <c r="F938" s="65" t="n">
        <v>81</v>
      </c>
    </row>
    <row r="939">
      <c r="A939" s="64" t="n">
        <v>46254</v>
      </c>
      <c r="B939" s="65">
        <f>'⚙ Настройки'!$A$3</f>
        <v/>
      </c>
      <c r="C939" s="66" t="n">
        <v>7627</v>
      </c>
      <c r="D939" s="65" t="n">
        <v>33680</v>
      </c>
      <c r="E939" s="65" t="n">
        <v>642</v>
      </c>
      <c r="F939" s="65" t="n">
        <v>150</v>
      </c>
    </row>
    <row r="940">
      <c r="A940" s="64" t="n">
        <v>46254</v>
      </c>
      <c r="B940" s="65">
        <f>'⚙ Настройки'!$A$4</f>
        <v/>
      </c>
      <c r="C940" s="66" t="n">
        <v>9674</v>
      </c>
      <c r="D940" s="65" t="n">
        <v>40928</v>
      </c>
      <c r="E940" s="65" t="n">
        <v>705</v>
      </c>
      <c r="F940" s="65" t="n">
        <v>135</v>
      </c>
    </row>
    <row r="941">
      <c r="A941" s="64" t="n">
        <v>46255</v>
      </c>
      <c r="B941" s="65">
        <f>'⚙ Настройки'!$A$2</f>
        <v/>
      </c>
      <c r="C941" s="66" t="n">
        <v>3147</v>
      </c>
      <c r="D941" s="65" t="n">
        <v>13299</v>
      </c>
      <c r="E941" s="65" t="n">
        <v>216</v>
      </c>
      <c r="F941" s="65" t="n">
        <v>139</v>
      </c>
    </row>
    <row r="942">
      <c r="A942" s="64" t="n">
        <v>46255</v>
      </c>
      <c r="B942" s="65">
        <f>'⚙ Настройки'!$A$3</f>
        <v/>
      </c>
      <c r="C942" s="66" t="n">
        <v>5994</v>
      </c>
      <c r="D942" s="65" t="n">
        <v>30443</v>
      </c>
      <c r="E942" s="65" t="n">
        <v>620</v>
      </c>
      <c r="F942" s="65" t="n">
        <v>100</v>
      </c>
    </row>
    <row r="943">
      <c r="A943" s="64" t="n">
        <v>46255</v>
      </c>
      <c r="B943" s="65">
        <f>'⚙ Настройки'!$A$4</f>
        <v/>
      </c>
      <c r="C943" s="66" t="n">
        <v>7031</v>
      </c>
      <c r="D943" s="65" t="n">
        <v>29679</v>
      </c>
      <c r="E943" s="65" t="n">
        <v>471</v>
      </c>
      <c r="F943" s="65" t="n">
        <v>114</v>
      </c>
    </row>
    <row r="944">
      <c r="A944" s="64" t="n">
        <v>46256</v>
      </c>
      <c r="B944" s="65">
        <f>'⚙ Настройки'!$A$2</f>
        <v/>
      </c>
      <c r="C944" s="66" t="n">
        <v>2755</v>
      </c>
      <c r="D944" s="65" t="n">
        <v>13125</v>
      </c>
      <c r="E944" s="65" t="n">
        <v>195</v>
      </c>
      <c r="F944" s="65" t="n">
        <v>85</v>
      </c>
    </row>
    <row r="945">
      <c r="A945" s="64" t="n">
        <v>46256</v>
      </c>
      <c r="B945" s="65">
        <f>'⚙ Настройки'!$A$3</f>
        <v/>
      </c>
      <c r="C945" s="66" t="n">
        <v>5498</v>
      </c>
      <c r="D945" s="65" t="n">
        <v>24891</v>
      </c>
      <c r="E945" s="65" t="n">
        <v>409</v>
      </c>
      <c r="F945" s="65" t="n">
        <v>99</v>
      </c>
    </row>
    <row r="946">
      <c r="A946" s="64" t="n">
        <v>46256</v>
      </c>
      <c r="B946" s="65">
        <f>'⚙ Настройки'!$A$4</f>
        <v/>
      </c>
      <c r="C946" s="66" t="n">
        <v>6551</v>
      </c>
      <c r="D946" s="65" t="n">
        <v>27653</v>
      </c>
      <c r="E946" s="65" t="n">
        <v>496</v>
      </c>
      <c r="F946" s="65" t="n">
        <v>75</v>
      </c>
    </row>
    <row r="947">
      <c r="A947" s="64" t="n">
        <v>46257</v>
      </c>
      <c r="B947" s="65">
        <f>'⚙ Настройки'!$A$2</f>
        <v/>
      </c>
      <c r="C947" s="66" t="n">
        <v>1982</v>
      </c>
      <c r="D947" s="65" t="n">
        <v>8721</v>
      </c>
      <c r="E947" s="65" t="n">
        <v>171</v>
      </c>
      <c r="F947" s="65" t="n">
        <v>55</v>
      </c>
    </row>
    <row r="948">
      <c r="A948" s="64" t="n">
        <v>46257</v>
      </c>
      <c r="B948" s="65">
        <f>'⚙ Настройки'!$A$3</f>
        <v/>
      </c>
      <c r="C948" s="66" t="n">
        <v>5054</v>
      </c>
      <c r="D948" s="65" t="n">
        <v>24006</v>
      </c>
      <c r="E948" s="65" t="n">
        <v>458</v>
      </c>
      <c r="F948" s="65" t="n">
        <v>125</v>
      </c>
    </row>
    <row r="949">
      <c r="A949" s="64" t="n">
        <v>46257</v>
      </c>
      <c r="B949" s="65">
        <f>'⚙ Настройки'!$A$4</f>
        <v/>
      </c>
      <c r="C949" s="66" t="n">
        <v>6915</v>
      </c>
      <c r="D949" s="65" t="n">
        <v>35832</v>
      </c>
      <c r="E949" s="65" t="n">
        <v>741</v>
      </c>
      <c r="F949" s="65" t="n">
        <v>145</v>
      </c>
    </row>
    <row r="950">
      <c r="A950" s="64" t="n">
        <v>46258</v>
      </c>
      <c r="B950" s="65">
        <f>'⚙ Настройки'!$A$2</f>
        <v/>
      </c>
      <c r="C950" s="66" t="n">
        <v>3815</v>
      </c>
      <c r="D950" s="65" t="n">
        <v>18948</v>
      </c>
      <c r="E950" s="65" t="n">
        <v>326</v>
      </c>
      <c r="F950" s="65" t="n">
        <v>143</v>
      </c>
    </row>
    <row r="951">
      <c r="A951" s="64" t="n">
        <v>46258</v>
      </c>
      <c r="B951" s="65">
        <f>'⚙ Настройки'!$A$3</f>
        <v/>
      </c>
      <c r="C951" s="66" t="n">
        <v>6618</v>
      </c>
      <c r="D951" s="65" t="n">
        <v>32384</v>
      </c>
      <c r="E951" s="65" t="n">
        <v>469</v>
      </c>
      <c r="F951" s="65" t="n">
        <v>166</v>
      </c>
    </row>
    <row r="952">
      <c r="A952" s="64" t="n">
        <v>46258</v>
      </c>
      <c r="B952" s="65">
        <f>'⚙ Настройки'!$A$4</f>
        <v/>
      </c>
      <c r="C952" s="66" t="n">
        <v>11651</v>
      </c>
      <c r="D952" s="65" t="n">
        <v>56178</v>
      </c>
      <c r="E952" s="65" t="n">
        <v>888</v>
      </c>
      <c r="F952" s="65" t="n">
        <v>136</v>
      </c>
    </row>
    <row r="953">
      <c r="A953" s="64" t="n">
        <v>46259</v>
      </c>
      <c r="B953" s="65">
        <f>'⚙ Настройки'!$A$2</f>
        <v/>
      </c>
      <c r="C953" s="66" t="n">
        <v>4290</v>
      </c>
      <c r="D953" s="65" t="n">
        <v>23168</v>
      </c>
      <c r="E953" s="65" t="n">
        <v>489</v>
      </c>
      <c r="F953" s="65" t="n">
        <v>237</v>
      </c>
    </row>
    <row r="954">
      <c r="A954" s="64" t="n">
        <v>46259</v>
      </c>
      <c r="B954" s="65">
        <f>'⚙ Настройки'!$A$3</f>
        <v/>
      </c>
      <c r="C954" s="66" t="n">
        <v>5889</v>
      </c>
      <c r="D954" s="65" t="n">
        <v>24609</v>
      </c>
      <c r="E954" s="65" t="n">
        <v>439</v>
      </c>
      <c r="F954" s="65" t="n">
        <v>144</v>
      </c>
    </row>
    <row r="955">
      <c r="A955" s="64" t="n">
        <v>46259</v>
      </c>
      <c r="B955" s="65">
        <f>'⚙ Настройки'!$A$4</f>
        <v/>
      </c>
      <c r="C955" s="66" t="n">
        <v>8500</v>
      </c>
      <c r="D955" s="65" t="n">
        <v>41581</v>
      </c>
      <c r="E955" s="65" t="n">
        <v>696</v>
      </c>
      <c r="F955" s="65" t="n">
        <v>120</v>
      </c>
    </row>
    <row r="956">
      <c r="A956" s="64" t="n">
        <v>46260</v>
      </c>
      <c r="B956" s="65">
        <f>'⚙ Настройки'!$A$2</f>
        <v/>
      </c>
      <c r="C956" s="66" t="n">
        <v>3065</v>
      </c>
      <c r="D956" s="65" t="n">
        <v>15654</v>
      </c>
      <c r="E956" s="65" t="n">
        <v>332</v>
      </c>
      <c r="F956" s="65" t="n">
        <v>105</v>
      </c>
    </row>
    <row r="957">
      <c r="A957" s="64" t="n">
        <v>46260</v>
      </c>
      <c r="B957" s="65">
        <f>'⚙ Настройки'!$A$3</f>
        <v/>
      </c>
      <c r="C957" s="66" t="n">
        <v>5637</v>
      </c>
      <c r="D957" s="65" t="n">
        <v>29043</v>
      </c>
      <c r="E957" s="65" t="n">
        <v>488</v>
      </c>
      <c r="F957" s="65" t="n">
        <v>173</v>
      </c>
    </row>
    <row r="958">
      <c r="A958" s="64" t="n">
        <v>46260</v>
      </c>
      <c r="B958" s="65">
        <f>'⚙ Настройки'!$A$4</f>
        <v/>
      </c>
      <c r="C958" s="66" t="n">
        <v>7113</v>
      </c>
      <c r="D958" s="65" t="n">
        <v>35137</v>
      </c>
      <c r="E958" s="65" t="n">
        <v>537</v>
      </c>
      <c r="F958" s="65" t="n">
        <v>90</v>
      </c>
    </row>
    <row r="959">
      <c r="A959" s="64" t="n">
        <v>46261</v>
      </c>
      <c r="B959" s="65">
        <f>'⚙ Настройки'!$A$2</f>
        <v/>
      </c>
      <c r="C959" s="66" t="n">
        <v>3379</v>
      </c>
      <c r="D959" s="65" t="n">
        <v>14500</v>
      </c>
      <c r="E959" s="65" t="n">
        <v>230</v>
      </c>
      <c r="F959" s="65" t="n">
        <v>120</v>
      </c>
    </row>
    <row r="960">
      <c r="A960" s="64" t="n">
        <v>46261</v>
      </c>
      <c r="B960" s="65">
        <f>'⚙ Настройки'!$A$3</f>
        <v/>
      </c>
      <c r="C960" s="66" t="n">
        <v>4878</v>
      </c>
      <c r="D960" s="65" t="n">
        <v>21002</v>
      </c>
      <c r="E960" s="65" t="n">
        <v>370</v>
      </c>
      <c r="F960" s="65" t="n">
        <v>111</v>
      </c>
    </row>
    <row r="961">
      <c r="A961" s="64" t="n">
        <v>46261</v>
      </c>
      <c r="B961" s="65">
        <f>'⚙ Настройки'!$A$4</f>
        <v/>
      </c>
      <c r="C961" s="66" t="n">
        <v>7013</v>
      </c>
      <c r="D961" s="65" t="n">
        <v>32400</v>
      </c>
      <c r="E961" s="65" t="n">
        <v>520</v>
      </c>
      <c r="F961" s="65" t="n">
        <v>116</v>
      </c>
    </row>
    <row r="962">
      <c r="A962" s="64" t="n">
        <v>46262</v>
      </c>
      <c r="B962" s="65">
        <f>'⚙ Настройки'!$A$2</f>
        <v/>
      </c>
      <c r="C962" s="66" t="n">
        <v>3656</v>
      </c>
      <c r="D962" s="65" t="n">
        <v>16230</v>
      </c>
      <c r="E962" s="65" t="n">
        <v>325</v>
      </c>
      <c r="F962" s="65" t="n">
        <v>112</v>
      </c>
    </row>
    <row r="963">
      <c r="A963" s="64" t="n">
        <v>46262</v>
      </c>
      <c r="B963" s="65">
        <f>'⚙ Настройки'!$A$3</f>
        <v/>
      </c>
      <c r="C963" s="66" t="n">
        <v>6701</v>
      </c>
      <c r="D963" s="65" t="n">
        <v>33819</v>
      </c>
      <c r="E963" s="65" t="n">
        <v>519</v>
      </c>
      <c r="F963" s="65" t="n">
        <v>224</v>
      </c>
    </row>
    <row r="964">
      <c r="A964" s="64" t="n">
        <v>46262</v>
      </c>
      <c r="B964" s="65">
        <f>'⚙ Настройки'!$A$4</f>
        <v/>
      </c>
      <c r="C964" s="66" t="n">
        <v>9648</v>
      </c>
      <c r="D964" s="65" t="n">
        <v>43322</v>
      </c>
      <c r="E964" s="65" t="n">
        <v>654</v>
      </c>
      <c r="F964" s="65" t="n">
        <v>195</v>
      </c>
    </row>
    <row r="965">
      <c r="A965" s="64" t="n">
        <v>46263</v>
      </c>
      <c r="B965" s="65">
        <f>'⚙ Настройки'!$A$2</f>
        <v/>
      </c>
      <c r="C965" s="66" t="n">
        <v>2331</v>
      </c>
      <c r="D965" s="65" t="n">
        <v>11678</v>
      </c>
      <c r="E965" s="65" t="n">
        <v>178</v>
      </c>
      <c r="F965" s="65" t="n">
        <v>63</v>
      </c>
    </row>
    <row r="966">
      <c r="A966" s="64" t="n">
        <v>46263</v>
      </c>
      <c r="B966" s="65">
        <f>'⚙ Настройки'!$A$3</f>
        <v/>
      </c>
      <c r="C966" s="66" t="n">
        <v>4089</v>
      </c>
      <c r="D966" s="65" t="n">
        <v>20598</v>
      </c>
      <c r="E966" s="65" t="n">
        <v>408</v>
      </c>
      <c r="F966" s="65" t="n">
        <v>86</v>
      </c>
    </row>
    <row r="967">
      <c r="A967" s="64" t="n">
        <v>46263</v>
      </c>
      <c r="B967" s="65">
        <f>'⚙ Настройки'!$A$4</f>
        <v/>
      </c>
      <c r="C967" s="66" t="n">
        <v>5313</v>
      </c>
      <c r="D967" s="65" t="n">
        <v>22360</v>
      </c>
      <c r="E967" s="65" t="n">
        <v>340</v>
      </c>
      <c r="F967" s="65" t="n">
        <v>120</v>
      </c>
    </row>
    <row r="968">
      <c r="A968" s="64" t="n">
        <v>46264</v>
      </c>
      <c r="B968" s="65">
        <f>'⚙ Настройки'!$A$2</f>
        <v/>
      </c>
      <c r="C968" s="66" t="n">
        <v>2729</v>
      </c>
      <c r="D968" s="65" t="n">
        <v>12155</v>
      </c>
      <c r="E968" s="65" t="n">
        <v>187</v>
      </c>
      <c r="F968" s="65" t="n">
        <v>98</v>
      </c>
    </row>
    <row r="969">
      <c r="A969" s="64" t="n">
        <v>46264</v>
      </c>
      <c r="B969" s="65">
        <f>'⚙ Настройки'!$A$3</f>
        <v/>
      </c>
      <c r="C969" s="66" t="n">
        <v>5538</v>
      </c>
      <c r="D969" s="65" t="n">
        <v>27631</v>
      </c>
      <c r="E969" s="65" t="n">
        <v>590</v>
      </c>
      <c r="F969" s="65" t="n">
        <v>113</v>
      </c>
    </row>
    <row r="970">
      <c r="A970" s="64" t="n">
        <v>46264</v>
      </c>
      <c r="B970" s="65">
        <f>'⚙ Настройки'!$A$4</f>
        <v/>
      </c>
      <c r="C970" s="66" t="n">
        <v>6636</v>
      </c>
      <c r="D970" s="65" t="n">
        <v>30882</v>
      </c>
      <c r="E970" s="65" t="n">
        <v>651</v>
      </c>
      <c r="F970" s="65" t="n">
        <v>165</v>
      </c>
    </row>
    <row r="971">
      <c r="A971" s="64" t="n">
        <v>46265</v>
      </c>
      <c r="B971" s="65">
        <f>'⚙ Настройки'!$A$2</f>
        <v/>
      </c>
      <c r="C971" s="66" t="n">
        <v>4103</v>
      </c>
      <c r="D971" s="65" t="n">
        <v>19106</v>
      </c>
      <c r="E971" s="65" t="n">
        <v>287</v>
      </c>
      <c r="F971" s="65" t="n">
        <v>145</v>
      </c>
    </row>
    <row r="972">
      <c r="A972" s="64" t="n">
        <v>46265</v>
      </c>
      <c r="B972" s="65">
        <f>'⚙ Настройки'!$A$3</f>
        <v/>
      </c>
      <c r="C972" s="66" t="n">
        <v>5133</v>
      </c>
      <c r="D972" s="65" t="n">
        <v>26913</v>
      </c>
      <c r="E972" s="65" t="n">
        <v>502</v>
      </c>
      <c r="F972" s="65" t="n">
        <v>81</v>
      </c>
    </row>
    <row r="973">
      <c r="A973" s="64" t="n">
        <v>46265</v>
      </c>
      <c r="B973" s="65">
        <f>'⚙ Настройки'!$A$4</f>
        <v/>
      </c>
      <c r="C973" s="66" t="n">
        <v>8138</v>
      </c>
      <c r="D973" s="65" t="n">
        <v>42820</v>
      </c>
      <c r="E973" s="65" t="n">
        <v>800</v>
      </c>
      <c r="F973" s="65" t="n">
        <v>136</v>
      </c>
    </row>
    <row r="974">
      <c r="A974" s="64" t="n">
        <v>46266</v>
      </c>
      <c r="B974" s="65">
        <f>'⚙ Настройки'!$A$2</f>
        <v/>
      </c>
      <c r="C974" s="66" t="n">
        <v>4309</v>
      </c>
      <c r="D974" s="65" t="n">
        <v>22180</v>
      </c>
      <c r="E974" s="65" t="n">
        <v>345</v>
      </c>
      <c r="F974" s="65" t="n">
        <v>176</v>
      </c>
    </row>
    <row r="975">
      <c r="A975" s="64" t="n">
        <v>46266</v>
      </c>
      <c r="B975" s="65">
        <f>'⚙ Настройки'!$A$3</f>
        <v/>
      </c>
      <c r="C975" s="66" t="n">
        <v>6038</v>
      </c>
      <c r="D975" s="65" t="n">
        <v>26662</v>
      </c>
      <c r="E975" s="65" t="n">
        <v>465</v>
      </c>
      <c r="F975" s="65" t="n">
        <v>102</v>
      </c>
    </row>
    <row r="976">
      <c r="A976" s="64" t="n">
        <v>46266</v>
      </c>
      <c r="B976" s="65">
        <f>'⚙ Настройки'!$A$4</f>
        <v/>
      </c>
      <c r="C976" s="66" t="n">
        <v>8966</v>
      </c>
      <c r="D976" s="65" t="n">
        <v>38431</v>
      </c>
      <c r="E976" s="65" t="n">
        <v>741</v>
      </c>
      <c r="F976" s="65" t="n">
        <v>112</v>
      </c>
    </row>
    <row r="977">
      <c r="A977" s="64" t="n">
        <v>46267</v>
      </c>
      <c r="B977" s="65">
        <f>'⚙ Настройки'!$A$2</f>
        <v/>
      </c>
      <c r="C977" s="66" t="n">
        <v>3984</v>
      </c>
      <c r="D977" s="65" t="n">
        <v>17275</v>
      </c>
      <c r="E977" s="65" t="n">
        <v>263</v>
      </c>
      <c r="F977" s="65" t="n">
        <v>189</v>
      </c>
    </row>
    <row r="978">
      <c r="A978" s="64" t="n">
        <v>46267</v>
      </c>
      <c r="B978" s="65">
        <f>'⚙ Настройки'!$A$3</f>
        <v/>
      </c>
      <c r="C978" s="66" t="n">
        <v>5103</v>
      </c>
      <c r="D978" s="65" t="n">
        <v>24408</v>
      </c>
      <c r="E978" s="65" t="n">
        <v>517</v>
      </c>
      <c r="F978" s="65" t="n">
        <v>136</v>
      </c>
    </row>
    <row r="979">
      <c r="A979" s="64" t="n">
        <v>46267</v>
      </c>
      <c r="B979" s="65">
        <f>'⚙ Настройки'!$A$4</f>
        <v/>
      </c>
      <c r="C979" s="66" t="n">
        <v>11551</v>
      </c>
      <c r="D979" s="65" t="n">
        <v>58893</v>
      </c>
      <c r="E979" s="65" t="n">
        <v>1268</v>
      </c>
      <c r="F979" s="65" t="n">
        <v>200</v>
      </c>
    </row>
    <row r="980">
      <c r="A980" s="64" t="n">
        <v>46268</v>
      </c>
      <c r="B980" s="65">
        <f>'⚙ Настройки'!$A$2</f>
        <v/>
      </c>
      <c r="C980" s="66" t="n">
        <v>3163</v>
      </c>
      <c r="D980" s="65" t="n">
        <v>15847</v>
      </c>
      <c r="E980" s="65" t="n">
        <v>288</v>
      </c>
      <c r="F980" s="65" t="n">
        <v>149</v>
      </c>
    </row>
    <row r="981">
      <c r="A981" s="64" t="n">
        <v>46268</v>
      </c>
      <c r="B981" s="65">
        <f>'⚙ Настройки'!$A$3</f>
        <v/>
      </c>
      <c r="C981" s="66" t="n">
        <v>5726</v>
      </c>
      <c r="D981" s="65" t="n">
        <v>31568</v>
      </c>
      <c r="E981" s="65" t="n">
        <v>484</v>
      </c>
      <c r="F981" s="65" t="n">
        <v>154</v>
      </c>
    </row>
    <row r="982">
      <c r="A982" s="64" t="n">
        <v>46268</v>
      </c>
      <c r="B982" s="65">
        <f>'⚙ Настройки'!$A$4</f>
        <v/>
      </c>
      <c r="C982" s="66" t="n">
        <v>7302</v>
      </c>
      <c r="D982" s="65" t="n">
        <v>31087</v>
      </c>
      <c r="E982" s="65" t="n">
        <v>461</v>
      </c>
      <c r="F982" s="65" t="n">
        <v>191</v>
      </c>
    </row>
    <row r="983">
      <c r="A983" s="64" t="n">
        <v>46269</v>
      </c>
      <c r="B983" s="65">
        <f>'⚙ Настройки'!$A$2</f>
        <v/>
      </c>
      <c r="C983" s="66" t="n">
        <v>3312</v>
      </c>
      <c r="D983" s="65" t="n">
        <v>17308</v>
      </c>
      <c r="E983" s="65" t="n">
        <v>377</v>
      </c>
      <c r="F983" s="65" t="n">
        <v>96</v>
      </c>
    </row>
    <row r="984">
      <c r="A984" s="64" t="n">
        <v>46269</v>
      </c>
      <c r="B984" s="65">
        <f>'⚙ Настройки'!$A$3</f>
        <v/>
      </c>
      <c r="C984" s="66" t="n">
        <v>7188</v>
      </c>
      <c r="D984" s="65" t="n">
        <v>37224</v>
      </c>
      <c r="E984" s="65" t="n">
        <v>640</v>
      </c>
      <c r="F984" s="65" t="n">
        <v>207</v>
      </c>
    </row>
    <row r="985">
      <c r="A985" s="64" t="n">
        <v>46269</v>
      </c>
      <c r="B985" s="65">
        <f>'⚙ Настройки'!$A$4</f>
        <v/>
      </c>
      <c r="C985" s="66" t="n">
        <v>8430</v>
      </c>
      <c r="D985" s="65" t="n">
        <v>42719</v>
      </c>
      <c r="E985" s="65" t="n">
        <v>929</v>
      </c>
      <c r="F985" s="65" t="n">
        <v>104</v>
      </c>
    </row>
    <row r="986">
      <c r="A986" s="64" t="n">
        <v>46270</v>
      </c>
      <c r="B986" s="65">
        <f>'⚙ Настройки'!$A$2</f>
        <v/>
      </c>
      <c r="C986" s="66" t="n">
        <v>2033</v>
      </c>
      <c r="D986" s="65" t="n">
        <v>8551</v>
      </c>
      <c r="E986" s="65" t="n">
        <v>127</v>
      </c>
      <c r="F986" s="65" t="n">
        <v>77</v>
      </c>
    </row>
    <row r="987">
      <c r="A987" s="64" t="n">
        <v>46270</v>
      </c>
      <c r="B987" s="65">
        <f>'⚙ Настройки'!$A$3</f>
        <v/>
      </c>
      <c r="C987" s="66" t="n">
        <v>4805</v>
      </c>
      <c r="D987" s="65" t="n">
        <v>20725</v>
      </c>
      <c r="E987" s="65" t="n">
        <v>398</v>
      </c>
      <c r="F987" s="65" t="n">
        <v>139</v>
      </c>
    </row>
    <row r="988">
      <c r="A988" s="64" t="n">
        <v>46270</v>
      </c>
      <c r="B988" s="65">
        <f>'⚙ Настройки'!$A$4</f>
        <v/>
      </c>
      <c r="C988" s="66" t="n">
        <v>6337</v>
      </c>
      <c r="D988" s="65" t="n">
        <v>29925</v>
      </c>
      <c r="E988" s="65" t="n">
        <v>622</v>
      </c>
      <c r="F988" s="65" t="n">
        <v>82</v>
      </c>
    </row>
    <row r="989">
      <c r="A989" s="64" t="n">
        <v>46271</v>
      </c>
      <c r="B989" s="65">
        <f>'⚙ Настройки'!$A$2</f>
        <v/>
      </c>
      <c r="C989" s="66" t="n">
        <v>3156</v>
      </c>
      <c r="D989" s="65" t="n">
        <v>13861</v>
      </c>
      <c r="E989" s="65" t="n">
        <v>275</v>
      </c>
      <c r="F989" s="65" t="n">
        <v>115</v>
      </c>
    </row>
    <row r="990">
      <c r="A990" s="64" t="n">
        <v>46271</v>
      </c>
      <c r="B990" s="65">
        <f>'⚙ Настройки'!$A$3</f>
        <v/>
      </c>
      <c r="C990" s="66" t="n">
        <v>5109</v>
      </c>
      <c r="D990" s="65" t="n">
        <v>21485</v>
      </c>
      <c r="E990" s="65" t="n">
        <v>404</v>
      </c>
      <c r="F990" s="65" t="n">
        <v>169</v>
      </c>
    </row>
    <row r="991">
      <c r="A991" s="64" t="n">
        <v>46271</v>
      </c>
      <c r="B991" s="65">
        <f>'⚙ Настройки'!$A$4</f>
        <v/>
      </c>
      <c r="C991" s="66" t="n">
        <v>7114</v>
      </c>
      <c r="D991" s="65" t="n">
        <v>33753</v>
      </c>
      <c r="E991" s="65" t="n">
        <v>504</v>
      </c>
      <c r="F991" s="65" t="n">
        <v>144</v>
      </c>
    </row>
    <row r="992">
      <c r="A992" s="64" t="n">
        <v>46272</v>
      </c>
      <c r="B992" s="65">
        <f>'⚙ Настройки'!$A$2</f>
        <v/>
      </c>
      <c r="C992" s="66" t="n">
        <v>3082</v>
      </c>
      <c r="D992" s="65" t="n">
        <v>14120</v>
      </c>
      <c r="E992" s="65" t="n">
        <v>210</v>
      </c>
      <c r="F992" s="65" t="n">
        <v>139</v>
      </c>
    </row>
    <row r="993">
      <c r="A993" s="64" t="n">
        <v>46272</v>
      </c>
      <c r="B993" s="65">
        <f>'⚙ Настройки'!$A$3</f>
        <v/>
      </c>
      <c r="C993" s="66" t="n">
        <v>7552</v>
      </c>
      <c r="D993" s="65" t="n">
        <v>32477</v>
      </c>
      <c r="E993" s="65" t="n">
        <v>543</v>
      </c>
      <c r="F993" s="65" t="n">
        <v>233</v>
      </c>
    </row>
    <row r="994">
      <c r="A994" s="64" t="n">
        <v>46272</v>
      </c>
      <c r="B994" s="65">
        <f>'⚙ Настройки'!$A$4</f>
        <v/>
      </c>
      <c r="C994" s="66" t="n">
        <v>10194</v>
      </c>
      <c r="D994" s="65" t="n">
        <v>47375</v>
      </c>
      <c r="E994" s="65" t="n">
        <v>967</v>
      </c>
      <c r="F994" s="65" t="n">
        <v>124</v>
      </c>
    </row>
    <row r="995">
      <c r="A995" s="64" t="n">
        <v>46273</v>
      </c>
      <c r="B995" s="65">
        <f>'⚙ Настройки'!$A$2</f>
        <v/>
      </c>
      <c r="C995" s="66" t="n">
        <v>3434</v>
      </c>
      <c r="D995" s="65" t="n">
        <v>18864</v>
      </c>
      <c r="E995" s="65" t="n">
        <v>324</v>
      </c>
      <c r="F995" s="65" t="n">
        <v>96</v>
      </c>
    </row>
    <row r="996">
      <c r="A996" s="64" t="n">
        <v>46273</v>
      </c>
      <c r="B996" s="65">
        <f>'⚙ Настройки'!$A$3</f>
        <v/>
      </c>
      <c r="C996" s="66" t="n">
        <v>5526</v>
      </c>
      <c r="D996" s="65" t="n">
        <v>26039</v>
      </c>
      <c r="E996" s="65" t="n">
        <v>547</v>
      </c>
      <c r="F996" s="65" t="n">
        <v>109</v>
      </c>
    </row>
    <row r="997">
      <c r="A997" s="64" t="n">
        <v>46273</v>
      </c>
      <c r="B997" s="65">
        <f>'⚙ Настройки'!$A$4</f>
        <v/>
      </c>
      <c r="C997" s="66" t="n">
        <v>11642</v>
      </c>
      <c r="D997" s="65" t="n">
        <v>60774</v>
      </c>
      <c r="E997" s="65" t="n">
        <v>888</v>
      </c>
      <c r="F997" s="65" t="n">
        <v>142</v>
      </c>
    </row>
    <row r="998">
      <c r="A998" s="64" t="n">
        <v>46274</v>
      </c>
      <c r="B998" s="65">
        <f>'⚙ Настройки'!$A$2</f>
        <v/>
      </c>
      <c r="C998" s="66" t="n">
        <v>3993</v>
      </c>
      <c r="D998" s="65" t="n">
        <v>19012</v>
      </c>
      <c r="E998" s="65" t="n">
        <v>362</v>
      </c>
      <c r="F998" s="65" t="n">
        <v>142</v>
      </c>
    </row>
    <row r="999">
      <c r="A999" s="64" t="n">
        <v>46274</v>
      </c>
      <c r="B999" s="65">
        <f>'⚙ Настройки'!$A$3</f>
        <v/>
      </c>
      <c r="C999" s="66" t="n">
        <v>7938</v>
      </c>
      <c r="D999" s="65" t="n">
        <v>41186</v>
      </c>
      <c r="E999" s="65" t="n">
        <v>684</v>
      </c>
      <c r="F999" s="65" t="n">
        <v>145</v>
      </c>
    </row>
    <row r="1000">
      <c r="A1000" s="64" t="n">
        <v>46274</v>
      </c>
      <c r="B1000" s="65">
        <f>'⚙ Настройки'!$A$4</f>
        <v/>
      </c>
      <c r="C1000" s="66" t="n">
        <v>9798</v>
      </c>
      <c r="D1000" s="65" t="n">
        <v>51328</v>
      </c>
      <c r="E1000" s="65" t="n">
        <v>1003</v>
      </c>
      <c r="F1000" s="65" t="n">
        <v>196</v>
      </c>
    </row>
    <row r="1001">
      <c r="A1001" s="64" t="n">
        <v>46275</v>
      </c>
      <c r="B1001" s="65">
        <f>'⚙ Настройки'!$A$2</f>
        <v/>
      </c>
      <c r="C1001" s="66" t="n">
        <v>2991</v>
      </c>
      <c r="D1001" s="65" t="n">
        <v>13833</v>
      </c>
      <c r="E1001" s="65" t="n">
        <v>238</v>
      </c>
      <c r="F1001" s="65" t="n">
        <v>86</v>
      </c>
    </row>
    <row r="1002">
      <c r="A1002" s="64" t="n">
        <v>46275</v>
      </c>
      <c r="B1002" s="65">
        <f>'⚙ Настройки'!$A$3</f>
        <v/>
      </c>
      <c r="C1002" s="66" t="n">
        <v>7047</v>
      </c>
      <c r="D1002" s="65" t="n">
        <v>34490</v>
      </c>
      <c r="E1002" s="65" t="n">
        <v>670</v>
      </c>
      <c r="F1002" s="65" t="n">
        <v>178</v>
      </c>
    </row>
    <row r="1003">
      <c r="A1003" s="64" t="n">
        <v>46275</v>
      </c>
      <c r="B1003" s="65">
        <f>'⚙ Настройки'!$A$4</f>
        <v/>
      </c>
      <c r="C1003" s="66" t="n">
        <v>8226</v>
      </c>
      <c r="D1003" s="65" t="n">
        <v>40728</v>
      </c>
      <c r="E1003" s="65" t="n">
        <v>741</v>
      </c>
      <c r="F1003" s="65" t="n">
        <v>116</v>
      </c>
    </row>
    <row r="1004">
      <c r="A1004" s="64" t="n">
        <v>46276</v>
      </c>
      <c r="B1004" s="65">
        <f>'⚙ Настройки'!$A$2</f>
        <v/>
      </c>
      <c r="C1004" s="66" t="n">
        <v>4391</v>
      </c>
      <c r="D1004" s="65" t="n">
        <v>21336</v>
      </c>
      <c r="E1004" s="65" t="n">
        <v>397</v>
      </c>
      <c r="F1004" s="65" t="n">
        <v>126</v>
      </c>
    </row>
    <row r="1005">
      <c r="A1005" s="64" t="n">
        <v>46276</v>
      </c>
      <c r="B1005" s="65">
        <f>'⚙ Настройки'!$A$3</f>
        <v/>
      </c>
      <c r="C1005" s="66" t="n">
        <v>5112</v>
      </c>
      <c r="D1005" s="65" t="n">
        <v>24954</v>
      </c>
      <c r="E1005" s="65" t="n">
        <v>358</v>
      </c>
      <c r="F1005" s="65" t="n">
        <v>102</v>
      </c>
    </row>
    <row r="1006">
      <c r="A1006" s="64" t="n">
        <v>46276</v>
      </c>
      <c r="B1006" s="65">
        <f>'⚙ Настройки'!$A$4</f>
        <v/>
      </c>
      <c r="C1006" s="66" t="n">
        <v>7460</v>
      </c>
      <c r="D1006" s="65" t="n">
        <v>33233</v>
      </c>
      <c r="E1006" s="65" t="n">
        <v>631</v>
      </c>
      <c r="F1006" s="65" t="n">
        <v>123</v>
      </c>
    </row>
    <row r="1007">
      <c r="A1007" s="64" t="n">
        <v>46277</v>
      </c>
      <c r="B1007" s="65">
        <f>'⚙ Настройки'!$A$2</f>
        <v/>
      </c>
      <c r="C1007" s="66" t="n">
        <v>2455</v>
      </c>
      <c r="D1007" s="65" t="n">
        <v>12673</v>
      </c>
      <c r="E1007" s="65" t="n">
        <v>251</v>
      </c>
      <c r="F1007" s="65" t="n">
        <v>65</v>
      </c>
    </row>
    <row r="1008">
      <c r="A1008" s="64" t="n">
        <v>46277</v>
      </c>
      <c r="B1008" s="65">
        <f>'⚙ Настройки'!$A$3</f>
        <v/>
      </c>
      <c r="C1008" s="66" t="n">
        <v>4219</v>
      </c>
      <c r="D1008" s="65" t="n">
        <v>20123</v>
      </c>
      <c r="E1008" s="65" t="n">
        <v>378</v>
      </c>
      <c r="F1008" s="65" t="n">
        <v>115</v>
      </c>
    </row>
    <row r="1009">
      <c r="A1009" s="64" t="n">
        <v>46277</v>
      </c>
      <c r="B1009" s="65">
        <f>'⚙ Настройки'!$A$4</f>
        <v/>
      </c>
      <c r="C1009" s="66" t="n">
        <v>7216</v>
      </c>
      <c r="D1009" s="65" t="n">
        <v>31652</v>
      </c>
      <c r="E1009" s="65" t="n">
        <v>446</v>
      </c>
      <c r="F1009" s="65" t="n">
        <v>119</v>
      </c>
    </row>
    <row r="1010">
      <c r="A1010" s="64" t="n">
        <v>46278</v>
      </c>
      <c r="B1010" s="65">
        <f>'⚙ Настройки'!$A$2</f>
        <v/>
      </c>
      <c r="C1010" s="66" t="n">
        <v>2908</v>
      </c>
      <c r="D1010" s="65" t="n">
        <v>13099</v>
      </c>
      <c r="E1010" s="65" t="n">
        <v>273</v>
      </c>
      <c r="F1010" s="65" t="n">
        <v>88</v>
      </c>
    </row>
    <row r="1011">
      <c r="A1011" s="64" t="n">
        <v>46278</v>
      </c>
      <c r="B1011" s="65">
        <f>'⚙ Настройки'!$A$3</f>
        <v/>
      </c>
      <c r="C1011" s="66" t="n">
        <v>4520</v>
      </c>
      <c r="D1011" s="65" t="n">
        <v>24998</v>
      </c>
      <c r="E1011" s="65" t="n">
        <v>535</v>
      </c>
      <c r="F1011" s="65" t="n">
        <v>95</v>
      </c>
    </row>
    <row r="1012">
      <c r="A1012" s="64" t="n">
        <v>46278</v>
      </c>
      <c r="B1012" s="65">
        <f>'⚙ Настройки'!$A$4</f>
        <v/>
      </c>
      <c r="C1012" s="66" t="n">
        <v>7242</v>
      </c>
      <c r="D1012" s="65" t="n">
        <v>32541</v>
      </c>
      <c r="E1012" s="65" t="n">
        <v>624</v>
      </c>
      <c r="F1012" s="65" t="n">
        <v>157</v>
      </c>
    </row>
    <row r="1013">
      <c r="A1013" s="64" t="n">
        <v>46279</v>
      </c>
      <c r="B1013" s="65">
        <f>'⚙ Настройки'!$A$2</f>
        <v/>
      </c>
      <c r="C1013" s="66" t="n">
        <v>3916</v>
      </c>
      <c r="D1013" s="65" t="n">
        <v>18896</v>
      </c>
      <c r="E1013" s="65" t="n">
        <v>312</v>
      </c>
      <c r="F1013" s="65" t="n">
        <v>123</v>
      </c>
    </row>
    <row r="1014">
      <c r="A1014" s="64" t="n">
        <v>46279</v>
      </c>
      <c r="B1014" s="65">
        <f>'⚙ Настройки'!$A$3</f>
        <v/>
      </c>
      <c r="C1014" s="66" t="n">
        <v>8188</v>
      </c>
      <c r="D1014" s="65" t="n">
        <v>44655</v>
      </c>
      <c r="E1014" s="65" t="n">
        <v>845</v>
      </c>
      <c r="F1014" s="65" t="n">
        <v>153</v>
      </c>
    </row>
    <row r="1015">
      <c r="A1015" s="64" t="n">
        <v>46279</v>
      </c>
      <c r="B1015" s="65">
        <f>'⚙ Настройки'!$A$4</f>
        <v/>
      </c>
      <c r="C1015" s="66" t="n">
        <v>11690</v>
      </c>
      <c r="D1015" s="65" t="n">
        <v>51466</v>
      </c>
      <c r="E1015" s="65" t="n">
        <v>816</v>
      </c>
      <c r="F1015" s="65" t="n">
        <v>200</v>
      </c>
    </row>
    <row r="1016">
      <c r="A1016" s="64" t="n">
        <v>46280</v>
      </c>
      <c r="B1016" s="65">
        <f>'⚙ Настройки'!$A$2</f>
        <v/>
      </c>
      <c r="C1016" s="66" t="n">
        <v>2925</v>
      </c>
      <c r="D1016" s="65" t="n">
        <v>14256</v>
      </c>
      <c r="E1016" s="65" t="n">
        <v>289</v>
      </c>
      <c r="F1016" s="65" t="n">
        <v>86</v>
      </c>
    </row>
    <row r="1017">
      <c r="A1017" s="64" t="n">
        <v>46280</v>
      </c>
      <c r="B1017" s="65">
        <f>'⚙ Настройки'!$A$3</f>
        <v/>
      </c>
      <c r="C1017" s="66" t="n">
        <v>6027</v>
      </c>
      <c r="D1017" s="65" t="n">
        <v>32472</v>
      </c>
      <c r="E1017" s="65" t="n">
        <v>495</v>
      </c>
      <c r="F1017" s="65" t="n">
        <v>186</v>
      </c>
    </row>
    <row r="1018">
      <c r="A1018" s="64" t="n">
        <v>46280</v>
      </c>
      <c r="B1018" s="65">
        <f>'⚙ Настройки'!$A$4</f>
        <v/>
      </c>
      <c r="C1018" s="66" t="n">
        <v>11698</v>
      </c>
      <c r="D1018" s="65" t="n">
        <v>60791</v>
      </c>
      <c r="E1018" s="65" t="n">
        <v>1050</v>
      </c>
      <c r="F1018" s="65" t="n">
        <v>138</v>
      </c>
    </row>
    <row r="1019">
      <c r="A1019" s="64" t="n">
        <v>46281</v>
      </c>
      <c r="B1019" s="65">
        <f>'⚙ Настройки'!$A$2</f>
        <v/>
      </c>
      <c r="C1019" s="66" t="n">
        <v>3902</v>
      </c>
      <c r="D1019" s="65" t="n">
        <v>20010</v>
      </c>
      <c r="E1019" s="65" t="n">
        <v>348</v>
      </c>
      <c r="F1019" s="65" t="n">
        <v>140</v>
      </c>
    </row>
    <row r="1020">
      <c r="A1020" s="64" t="n">
        <v>46281</v>
      </c>
      <c r="B1020" s="65">
        <f>'⚙ Настройки'!$A$3</f>
        <v/>
      </c>
      <c r="C1020" s="66" t="n">
        <v>7477</v>
      </c>
      <c r="D1020" s="65" t="n">
        <v>40331</v>
      </c>
      <c r="E1020" s="65" t="n">
        <v>827</v>
      </c>
      <c r="F1020" s="65" t="n">
        <v>175</v>
      </c>
    </row>
    <row r="1021">
      <c r="A1021" s="64" t="n">
        <v>46281</v>
      </c>
      <c r="B1021" s="65">
        <f>'⚙ Настройки'!$A$4</f>
        <v/>
      </c>
      <c r="C1021" s="66" t="n">
        <v>11433</v>
      </c>
      <c r="D1021" s="65" t="n">
        <v>58948</v>
      </c>
      <c r="E1021" s="65" t="n">
        <v>1172</v>
      </c>
      <c r="F1021" s="65" t="n">
        <v>208</v>
      </c>
    </row>
    <row r="1022">
      <c r="A1022" s="64" t="n">
        <v>46282</v>
      </c>
      <c r="B1022" s="65">
        <f>'⚙ Настройки'!$A$2</f>
        <v/>
      </c>
      <c r="C1022" s="66" t="n">
        <v>3891</v>
      </c>
      <c r="D1022" s="65" t="n">
        <v>19021</v>
      </c>
      <c r="E1022" s="65" t="n">
        <v>369</v>
      </c>
      <c r="F1022" s="65" t="n">
        <v>100</v>
      </c>
    </row>
    <row r="1023">
      <c r="A1023" s="64" t="n">
        <v>46282</v>
      </c>
      <c r="B1023" s="65">
        <f>'⚙ Настройки'!$A$3</f>
        <v/>
      </c>
      <c r="C1023" s="66" t="n">
        <v>6730</v>
      </c>
      <c r="D1023" s="65" t="n">
        <v>31257</v>
      </c>
      <c r="E1023" s="65" t="n">
        <v>576</v>
      </c>
      <c r="F1023" s="65" t="n">
        <v>132</v>
      </c>
    </row>
    <row r="1024">
      <c r="A1024" s="64" t="n">
        <v>46282</v>
      </c>
      <c r="B1024" s="65">
        <f>'⚙ Настройки'!$A$4</f>
        <v/>
      </c>
      <c r="C1024" s="66" t="n">
        <v>10315</v>
      </c>
      <c r="D1024" s="65" t="n">
        <v>45639</v>
      </c>
      <c r="E1024" s="65" t="n">
        <v>686</v>
      </c>
      <c r="F1024" s="65" t="n">
        <v>214</v>
      </c>
    </row>
    <row r="1025">
      <c r="A1025" s="64" t="n">
        <v>46283</v>
      </c>
      <c r="B1025" s="65">
        <f>'⚙ Настройки'!$A$2</f>
        <v/>
      </c>
      <c r="C1025" s="66" t="n">
        <v>3089</v>
      </c>
      <c r="D1025" s="65" t="n">
        <v>14088</v>
      </c>
      <c r="E1025" s="65" t="n">
        <v>285</v>
      </c>
      <c r="F1025" s="65" t="n">
        <v>117</v>
      </c>
    </row>
    <row r="1026">
      <c r="A1026" s="64" t="n">
        <v>46283</v>
      </c>
      <c r="B1026" s="65">
        <f>'⚙ Настройки'!$A$3</f>
        <v/>
      </c>
      <c r="C1026" s="66" t="n">
        <v>6944</v>
      </c>
      <c r="D1026" s="65" t="n">
        <v>34746</v>
      </c>
      <c r="E1026" s="65" t="n">
        <v>692</v>
      </c>
      <c r="F1026" s="65" t="n">
        <v>190</v>
      </c>
    </row>
    <row r="1027">
      <c r="A1027" s="64" t="n">
        <v>46283</v>
      </c>
      <c r="B1027" s="65">
        <f>'⚙ Настройки'!$A$4</f>
        <v/>
      </c>
      <c r="C1027" s="66" t="n">
        <v>8185</v>
      </c>
      <c r="D1027" s="65" t="n">
        <v>41768</v>
      </c>
      <c r="E1027" s="65" t="n">
        <v>597</v>
      </c>
      <c r="F1027" s="65" t="n">
        <v>187</v>
      </c>
    </row>
    <row r="1028">
      <c r="A1028" s="64" t="n">
        <v>46284</v>
      </c>
      <c r="B1028" s="65">
        <f>'⚙ Настройки'!$A$2</f>
        <v/>
      </c>
      <c r="C1028" s="66" t="n">
        <v>2559</v>
      </c>
      <c r="D1028" s="65" t="n">
        <v>10731</v>
      </c>
      <c r="E1028" s="65" t="n">
        <v>154</v>
      </c>
      <c r="F1028" s="65" t="n">
        <v>86</v>
      </c>
    </row>
    <row r="1029">
      <c r="A1029" s="64" t="n">
        <v>46284</v>
      </c>
      <c r="B1029" s="65">
        <f>'⚙ Настройки'!$A$3</f>
        <v/>
      </c>
      <c r="C1029" s="66" t="n">
        <v>5120</v>
      </c>
      <c r="D1029" s="65" t="n">
        <v>22675</v>
      </c>
      <c r="E1029" s="65" t="n">
        <v>458</v>
      </c>
      <c r="F1029" s="65" t="n">
        <v>133</v>
      </c>
    </row>
    <row r="1030">
      <c r="A1030" s="64" t="n">
        <v>46284</v>
      </c>
      <c r="B1030" s="65">
        <f>'⚙ Настройки'!$A$4</f>
        <v/>
      </c>
      <c r="C1030" s="66" t="n">
        <v>6374</v>
      </c>
      <c r="D1030" s="65" t="n">
        <v>31055</v>
      </c>
      <c r="E1030" s="65" t="n">
        <v>454</v>
      </c>
      <c r="F1030" s="65" t="n">
        <v>97</v>
      </c>
    </row>
    <row r="1031">
      <c r="A1031" s="64" t="n">
        <v>46285</v>
      </c>
      <c r="B1031" s="65">
        <f>'⚙ Настройки'!$A$2</f>
        <v/>
      </c>
      <c r="C1031" s="66" t="n">
        <v>2138</v>
      </c>
      <c r="D1031" s="65" t="n">
        <v>9422</v>
      </c>
      <c r="E1031" s="65" t="n">
        <v>203</v>
      </c>
      <c r="F1031" s="65" t="n">
        <v>73</v>
      </c>
    </row>
    <row r="1032">
      <c r="A1032" s="64" t="n">
        <v>46285</v>
      </c>
      <c r="B1032" s="65">
        <f>'⚙ Настройки'!$A$3</f>
        <v/>
      </c>
      <c r="C1032" s="66" t="n">
        <v>5266</v>
      </c>
      <c r="D1032" s="65" t="n">
        <v>22066</v>
      </c>
      <c r="E1032" s="65" t="n">
        <v>389</v>
      </c>
      <c r="F1032" s="65" t="n">
        <v>141</v>
      </c>
    </row>
    <row r="1033">
      <c r="A1033" s="64" t="n">
        <v>46285</v>
      </c>
      <c r="B1033" s="65">
        <f>'⚙ Настройки'!$A$4</f>
        <v/>
      </c>
      <c r="C1033" s="66" t="n">
        <v>8175</v>
      </c>
      <c r="D1033" s="65" t="n">
        <v>38091</v>
      </c>
      <c r="E1033" s="65" t="n">
        <v>642</v>
      </c>
      <c r="F1033" s="65" t="n">
        <v>114</v>
      </c>
    </row>
    <row r="1034">
      <c r="A1034" s="64" t="n">
        <v>46286</v>
      </c>
      <c r="B1034" s="65">
        <f>'⚙ Настройки'!$A$2</f>
        <v/>
      </c>
      <c r="C1034" s="66" t="n">
        <v>2947</v>
      </c>
      <c r="D1034" s="65" t="n">
        <v>13741</v>
      </c>
      <c r="E1034" s="65" t="n">
        <v>252</v>
      </c>
      <c r="F1034" s="65" t="n">
        <v>87</v>
      </c>
    </row>
    <row r="1035">
      <c r="A1035" s="64" t="n">
        <v>46286</v>
      </c>
      <c r="B1035" s="65">
        <f>'⚙ Настройки'!$A$3</f>
        <v/>
      </c>
      <c r="C1035" s="66" t="n">
        <v>6704</v>
      </c>
      <c r="D1035" s="65" t="n">
        <v>28352</v>
      </c>
      <c r="E1035" s="65" t="n">
        <v>427</v>
      </c>
      <c r="F1035" s="65" t="n">
        <v>244</v>
      </c>
    </row>
    <row r="1036">
      <c r="A1036" s="64" t="n">
        <v>46286</v>
      </c>
      <c r="B1036" s="65">
        <f>'⚙ Настройки'!$A$4</f>
        <v/>
      </c>
      <c r="C1036" s="66" t="n">
        <v>9271</v>
      </c>
      <c r="D1036" s="65" t="n">
        <v>48660</v>
      </c>
      <c r="E1036" s="65" t="n">
        <v>869</v>
      </c>
      <c r="F1036" s="65" t="n">
        <v>244</v>
      </c>
    </row>
    <row r="1037">
      <c r="A1037" s="64" t="n">
        <v>46287</v>
      </c>
      <c r="B1037" s="65">
        <f>'⚙ Настройки'!$A$2</f>
        <v/>
      </c>
      <c r="C1037" s="66" t="n">
        <v>3707</v>
      </c>
      <c r="D1037" s="65" t="n">
        <v>16977</v>
      </c>
      <c r="E1037" s="65" t="n">
        <v>350</v>
      </c>
      <c r="F1037" s="65" t="n">
        <v>126</v>
      </c>
    </row>
    <row r="1038">
      <c r="A1038" s="64" t="n">
        <v>46287</v>
      </c>
      <c r="B1038" s="65">
        <f>'⚙ Настройки'!$A$3</f>
        <v/>
      </c>
      <c r="C1038" s="66" t="n">
        <v>6552</v>
      </c>
      <c r="D1038" s="65" t="n">
        <v>29874</v>
      </c>
      <c r="E1038" s="65" t="n">
        <v>603</v>
      </c>
      <c r="F1038" s="65" t="n">
        <v>163</v>
      </c>
    </row>
    <row r="1039">
      <c r="A1039" s="64" t="n">
        <v>46287</v>
      </c>
      <c r="B1039" s="65">
        <f>'⚙ Настройки'!$A$4</f>
        <v/>
      </c>
      <c r="C1039" s="66" t="n">
        <v>10424</v>
      </c>
      <c r="D1039" s="65" t="n">
        <v>54963</v>
      </c>
      <c r="E1039" s="65" t="n">
        <v>932</v>
      </c>
      <c r="F1039" s="65" t="n">
        <v>123</v>
      </c>
    </row>
    <row r="1040">
      <c r="A1040" s="64" t="n">
        <v>46288</v>
      </c>
      <c r="B1040" s="65">
        <f>'⚙ Настройки'!$A$2</f>
        <v/>
      </c>
      <c r="C1040" s="66" t="n">
        <v>3523</v>
      </c>
      <c r="D1040" s="65" t="n">
        <v>14873</v>
      </c>
      <c r="E1040" s="65" t="n">
        <v>233</v>
      </c>
      <c r="F1040" s="65" t="n">
        <v>107</v>
      </c>
    </row>
    <row r="1041">
      <c r="A1041" s="64" t="n">
        <v>46288</v>
      </c>
      <c r="B1041" s="65">
        <f>'⚙ Настройки'!$A$3</f>
        <v/>
      </c>
      <c r="C1041" s="66" t="n">
        <v>8264</v>
      </c>
      <c r="D1041" s="65" t="n">
        <v>42666</v>
      </c>
      <c r="E1041" s="65" t="n">
        <v>856</v>
      </c>
      <c r="F1041" s="65" t="n">
        <v>272</v>
      </c>
    </row>
    <row r="1042">
      <c r="A1042" s="64" t="n">
        <v>46288</v>
      </c>
      <c r="B1042" s="65">
        <f>'⚙ Настройки'!$A$4</f>
        <v/>
      </c>
      <c r="C1042" s="66" t="n">
        <v>10869</v>
      </c>
      <c r="D1042" s="65" t="n">
        <v>47229</v>
      </c>
      <c r="E1042" s="65" t="n">
        <v>904</v>
      </c>
      <c r="F1042" s="65" t="n">
        <v>159</v>
      </c>
    </row>
    <row r="1043">
      <c r="A1043" s="64" t="n">
        <v>46289</v>
      </c>
      <c r="B1043" s="65">
        <f>'⚙ Настройки'!$A$2</f>
        <v/>
      </c>
      <c r="C1043" s="66" t="n">
        <v>3493</v>
      </c>
      <c r="D1043" s="65" t="n">
        <v>15472</v>
      </c>
      <c r="E1043" s="65" t="n">
        <v>232</v>
      </c>
      <c r="F1043" s="65" t="n">
        <v>87</v>
      </c>
    </row>
    <row r="1044">
      <c r="A1044" s="64" t="n">
        <v>46289</v>
      </c>
      <c r="B1044" s="65">
        <f>'⚙ Настройки'!$A$3</f>
        <v/>
      </c>
      <c r="C1044" s="66" t="n">
        <v>5077</v>
      </c>
      <c r="D1044" s="65" t="n">
        <v>26998</v>
      </c>
      <c r="E1044" s="65" t="n">
        <v>391</v>
      </c>
      <c r="F1044" s="65" t="n">
        <v>112</v>
      </c>
    </row>
    <row r="1045">
      <c r="A1045" s="64" t="n">
        <v>46289</v>
      </c>
      <c r="B1045" s="65">
        <f>'⚙ Настройки'!$A$4</f>
        <v/>
      </c>
      <c r="C1045" s="66" t="n">
        <v>10582</v>
      </c>
      <c r="D1045" s="65" t="n">
        <v>44466</v>
      </c>
      <c r="E1045" s="65" t="n">
        <v>692</v>
      </c>
      <c r="F1045" s="65" t="n">
        <v>141</v>
      </c>
    </row>
    <row r="1046">
      <c r="A1046" s="64" t="n">
        <v>46290</v>
      </c>
      <c r="B1046" s="65">
        <f>'⚙ Настройки'!$A$2</f>
        <v/>
      </c>
      <c r="C1046" s="66" t="n">
        <v>3428</v>
      </c>
      <c r="D1046" s="65" t="n">
        <v>18692</v>
      </c>
      <c r="E1046" s="65" t="n">
        <v>303</v>
      </c>
      <c r="F1046" s="65" t="n">
        <v>129</v>
      </c>
    </row>
    <row r="1047">
      <c r="A1047" s="64" t="n">
        <v>46290</v>
      </c>
      <c r="B1047" s="65">
        <f>'⚙ Настройки'!$A$3</f>
        <v/>
      </c>
      <c r="C1047" s="66" t="n">
        <v>6835</v>
      </c>
      <c r="D1047" s="65" t="n">
        <v>35802</v>
      </c>
      <c r="E1047" s="65" t="n">
        <v>770</v>
      </c>
      <c r="F1047" s="65" t="n">
        <v>169</v>
      </c>
    </row>
    <row r="1048">
      <c r="A1048" s="64" t="n">
        <v>46290</v>
      </c>
      <c r="B1048" s="65">
        <f>'⚙ Настройки'!$A$4</f>
        <v/>
      </c>
      <c r="C1048" s="66" t="n">
        <v>8651</v>
      </c>
      <c r="D1048" s="65" t="n">
        <v>44286</v>
      </c>
      <c r="E1048" s="65" t="n">
        <v>911</v>
      </c>
      <c r="F1048" s="65" t="n">
        <v>130</v>
      </c>
    </row>
    <row r="1049">
      <c r="A1049" s="64" t="n">
        <v>46291</v>
      </c>
      <c r="B1049" s="65">
        <f>'⚙ Настройки'!$A$2</f>
        <v/>
      </c>
      <c r="C1049" s="66" t="n">
        <v>1959</v>
      </c>
      <c r="D1049" s="65" t="n">
        <v>9551</v>
      </c>
      <c r="E1049" s="65" t="n">
        <v>166</v>
      </c>
      <c r="F1049" s="65" t="n">
        <v>59</v>
      </c>
    </row>
    <row r="1050">
      <c r="A1050" s="64" t="n">
        <v>46291</v>
      </c>
      <c r="B1050" s="65">
        <f>'⚙ Настройки'!$A$3</f>
        <v/>
      </c>
      <c r="C1050" s="66" t="n">
        <v>3843</v>
      </c>
      <c r="D1050" s="65" t="n">
        <v>20158</v>
      </c>
      <c r="E1050" s="65" t="n">
        <v>401</v>
      </c>
      <c r="F1050" s="65" t="n">
        <v>64</v>
      </c>
    </row>
    <row r="1051">
      <c r="A1051" s="64" t="n">
        <v>46291</v>
      </c>
      <c r="B1051" s="65">
        <f>'⚙ Настройки'!$A$4</f>
        <v/>
      </c>
      <c r="C1051" s="66" t="n">
        <v>7908</v>
      </c>
      <c r="D1051" s="65" t="n">
        <v>34012</v>
      </c>
      <c r="E1051" s="65" t="n">
        <v>636</v>
      </c>
      <c r="F1051" s="65" t="n">
        <v>169</v>
      </c>
    </row>
    <row r="1052">
      <c r="A1052" s="64" t="n">
        <v>46292</v>
      </c>
      <c r="B1052" s="65">
        <f>'⚙ Настройки'!$A$2</f>
        <v/>
      </c>
      <c r="C1052" s="66" t="n">
        <v>2400</v>
      </c>
      <c r="D1052" s="65" t="n">
        <v>12251</v>
      </c>
      <c r="E1052" s="65" t="n">
        <v>194</v>
      </c>
      <c r="F1052" s="65" t="n">
        <v>70</v>
      </c>
    </row>
    <row r="1053">
      <c r="A1053" s="64" t="n">
        <v>46292</v>
      </c>
      <c r="B1053" s="65">
        <f>'⚙ Настройки'!$A$3</f>
        <v/>
      </c>
      <c r="C1053" s="66" t="n">
        <v>3876</v>
      </c>
      <c r="D1053" s="65" t="n">
        <v>21327</v>
      </c>
      <c r="E1053" s="65" t="n">
        <v>431</v>
      </c>
      <c r="F1053" s="65" t="n">
        <v>108</v>
      </c>
    </row>
    <row r="1054">
      <c r="A1054" s="64" t="n">
        <v>46292</v>
      </c>
      <c r="B1054" s="65">
        <f>'⚙ Настройки'!$A$4</f>
        <v/>
      </c>
      <c r="C1054" s="66" t="n">
        <v>5104</v>
      </c>
      <c r="D1054" s="65" t="n">
        <v>24065</v>
      </c>
      <c r="E1054" s="65" t="n">
        <v>477</v>
      </c>
      <c r="F1054" s="65" t="n">
        <v>101</v>
      </c>
    </row>
    <row r="1055">
      <c r="A1055" s="64" t="n">
        <v>46293</v>
      </c>
      <c r="B1055" s="65">
        <f>'⚙ Настройки'!$A$2</f>
        <v/>
      </c>
      <c r="C1055" s="66" t="n">
        <v>4521</v>
      </c>
      <c r="D1055" s="65" t="n">
        <v>21363</v>
      </c>
      <c r="E1055" s="65" t="n">
        <v>336</v>
      </c>
      <c r="F1055" s="65" t="n">
        <v>127</v>
      </c>
    </row>
    <row r="1056">
      <c r="A1056" s="64" t="n">
        <v>46293</v>
      </c>
      <c r="B1056" s="65">
        <f>'⚙ Настройки'!$A$3</f>
        <v/>
      </c>
      <c r="C1056" s="66" t="n">
        <v>8278</v>
      </c>
      <c r="D1056" s="65" t="n">
        <v>39431</v>
      </c>
      <c r="E1056" s="65" t="n">
        <v>753</v>
      </c>
      <c r="F1056" s="65" t="n">
        <v>209</v>
      </c>
    </row>
    <row r="1057">
      <c r="A1057" s="64" t="n">
        <v>46293</v>
      </c>
      <c r="B1057" s="65">
        <f>'⚙ Настройки'!$A$4</f>
        <v/>
      </c>
      <c r="C1057" s="66" t="n">
        <v>7563</v>
      </c>
      <c r="D1057" s="65" t="n">
        <v>41950</v>
      </c>
      <c r="E1057" s="65" t="n">
        <v>645</v>
      </c>
      <c r="F1057" s="65" t="n">
        <v>106</v>
      </c>
    </row>
    <row r="1058">
      <c r="A1058" s="64" t="n">
        <v>46294</v>
      </c>
      <c r="B1058" s="65">
        <f>'⚙ Настройки'!$A$2</f>
        <v/>
      </c>
      <c r="C1058" s="66" t="n">
        <v>3509</v>
      </c>
      <c r="D1058" s="65" t="n">
        <v>18208</v>
      </c>
      <c r="E1058" s="65" t="n">
        <v>274</v>
      </c>
      <c r="F1058" s="65" t="n">
        <v>100</v>
      </c>
    </row>
    <row r="1059">
      <c r="A1059" s="64" t="n">
        <v>46294</v>
      </c>
      <c r="B1059" s="65">
        <f>'⚙ Настройки'!$A$3</f>
        <v/>
      </c>
      <c r="C1059" s="66" t="n">
        <v>7679</v>
      </c>
      <c r="D1059" s="65" t="n">
        <v>36988</v>
      </c>
      <c r="E1059" s="65" t="n">
        <v>614</v>
      </c>
      <c r="F1059" s="65" t="n">
        <v>129</v>
      </c>
    </row>
    <row r="1060">
      <c r="A1060" s="64" t="n">
        <v>46294</v>
      </c>
      <c r="B1060" s="65">
        <f>'⚙ Настройки'!$A$4</f>
        <v/>
      </c>
      <c r="C1060" s="66" t="n">
        <v>7251</v>
      </c>
      <c r="D1060" s="65" t="n">
        <v>37415</v>
      </c>
      <c r="E1060" s="65" t="n">
        <v>603</v>
      </c>
      <c r="F1060" s="65" t="n">
        <v>101</v>
      </c>
    </row>
    <row r="1061">
      <c r="A1061" s="64" t="n">
        <v>46295</v>
      </c>
      <c r="B1061" s="65">
        <f>'⚙ Настройки'!$A$2</f>
        <v/>
      </c>
      <c r="C1061" s="66" t="n">
        <v>4287</v>
      </c>
      <c r="D1061" s="65" t="n">
        <v>19660</v>
      </c>
      <c r="E1061" s="65" t="n">
        <v>349</v>
      </c>
      <c r="F1061" s="65" t="n">
        <v>142</v>
      </c>
    </row>
    <row r="1062">
      <c r="A1062" s="64" t="n">
        <v>46295</v>
      </c>
      <c r="B1062" s="65">
        <f>'⚙ Настройки'!$A$3</f>
        <v/>
      </c>
      <c r="C1062" s="66" t="n">
        <v>5372</v>
      </c>
      <c r="D1062" s="65" t="n">
        <v>23982</v>
      </c>
      <c r="E1062" s="65" t="n">
        <v>348</v>
      </c>
      <c r="F1062" s="65" t="n">
        <v>107</v>
      </c>
    </row>
    <row r="1063">
      <c r="A1063" s="64" t="n">
        <v>46295</v>
      </c>
      <c r="B1063" s="65">
        <f>'⚙ Настройки'!$A$4</f>
        <v/>
      </c>
      <c r="C1063" s="66" t="n">
        <v>12003</v>
      </c>
      <c r="D1063" s="65" t="n">
        <v>66257</v>
      </c>
      <c r="E1063" s="65" t="n">
        <v>988</v>
      </c>
      <c r="F1063" s="65" t="n">
        <v>145</v>
      </c>
    </row>
    <row r="1064">
      <c r="A1064" s="64" t="n">
        <v>46296</v>
      </c>
      <c r="B1064" s="65">
        <f>'⚙ Настройки'!$A$2</f>
        <v/>
      </c>
      <c r="C1064" s="66" t="n">
        <v>3207</v>
      </c>
      <c r="D1064" s="65" t="n">
        <v>13484</v>
      </c>
      <c r="E1064" s="65" t="n">
        <v>227</v>
      </c>
      <c r="F1064" s="65" t="n">
        <v>101</v>
      </c>
    </row>
    <row r="1065">
      <c r="A1065" s="64" t="n">
        <v>46296</v>
      </c>
      <c r="B1065" s="65">
        <f>'⚙ Настройки'!$A$3</f>
        <v/>
      </c>
      <c r="C1065" s="66" t="n">
        <v>6360</v>
      </c>
      <c r="D1065" s="65" t="n">
        <v>27432</v>
      </c>
      <c r="E1065" s="65" t="n">
        <v>397</v>
      </c>
      <c r="F1065" s="65" t="n">
        <v>134</v>
      </c>
    </row>
    <row r="1066">
      <c r="A1066" s="64" t="n">
        <v>46296</v>
      </c>
      <c r="B1066" s="65">
        <f>'⚙ Настройки'!$A$4</f>
        <v/>
      </c>
      <c r="C1066" s="66" t="n">
        <v>11931</v>
      </c>
      <c r="D1066" s="65" t="n">
        <v>63155</v>
      </c>
      <c r="E1066" s="65" t="n">
        <v>1054</v>
      </c>
      <c r="F1066" s="65" t="n">
        <v>191</v>
      </c>
    </row>
    <row r="1067">
      <c r="A1067" s="64" t="n">
        <v>46297</v>
      </c>
      <c r="B1067" s="65">
        <f>'⚙ Настройки'!$A$2</f>
        <v/>
      </c>
      <c r="C1067" s="66" t="n">
        <v>4312</v>
      </c>
      <c r="D1067" s="65" t="n">
        <v>18832</v>
      </c>
      <c r="E1067" s="65" t="n">
        <v>334</v>
      </c>
      <c r="F1067" s="65" t="n">
        <v>180</v>
      </c>
    </row>
    <row r="1068">
      <c r="A1068" s="64" t="n">
        <v>46297</v>
      </c>
      <c r="B1068" s="65">
        <f>'⚙ Настройки'!$A$3</f>
        <v/>
      </c>
      <c r="C1068" s="66" t="n">
        <v>6393</v>
      </c>
      <c r="D1068" s="65" t="n">
        <v>27187</v>
      </c>
      <c r="E1068" s="65" t="n">
        <v>586</v>
      </c>
      <c r="F1068" s="65" t="n">
        <v>129</v>
      </c>
    </row>
    <row r="1069">
      <c r="A1069" s="64" t="n">
        <v>46297</v>
      </c>
      <c r="B1069" s="65">
        <f>'⚙ Настройки'!$A$4</f>
        <v/>
      </c>
      <c r="C1069" s="66" t="n">
        <v>8800</v>
      </c>
      <c r="D1069" s="65" t="n">
        <v>42918</v>
      </c>
      <c r="E1069" s="65" t="n">
        <v>765</v>
      </c>
      <c r="F1069" s="65" t="n">
        <v>177</v>
      </c>
    </row>
    <row r="1070">
      <c r="A1070" s="64" t="n">
        <v>46298</v>
      </c>
      <c r="B1070" s="65">
        <f>'⚙ Настройки'!$A$2</f>
        <v/>
      </c>
      <c r="C1070" s="66" t="n">
        <v>2669</v>
      </c>
      <c r="D1070" s="65" t="n">
        <v>14234</v>
      </c>
      <c r="E1070" s="65" t="n">
        <v>294</v>
      </c>
      <c r="F1070" s="65" t="n">
        <v>105</v>
      </c>
    </row>
    <row r="1071">
      <c r="A1071" s="64" t="n">
        <v>46298</v>
      </c>
      <c r="B1071" s="65">
        <f>'⚙ Настройки'!$A$3</f>
        <v/>
      </c>
      <c r="C1071" s="66" t="n">
        <v>4043</v>
      </c>
      <c r="D1071" s="65" t="n">
        <v>20721</v>
      </c>
      <c r="E1071" s="65" t="n">
        <v>334</v>
      </c>
      <c r="F1071" s="65" t="n">
        <v>95</v>
      </c>
    </row>
    <row r="1072">
      <c r="A1072" s="64" t="n">
        <v>46298</v>
      </c>
      <c r="B1072" s="65">
        <f>'⚙ Настройки'!$A$4</f>
        <v/>
      </c>
      <c r="C1072" s="66" t="n">
        <v>5268</v>
      </c>
      <c r="D1072" s="65" t="n">
        <v>28470</v>
      </c>
      <c r="E1072" s="65" t="n">
        <v>436</v>
      </c>
      <c r="F1072" s="65" t="n">
        <v>127</v>
      </c>
    </row>
    <row r="1073">
      <c r="A1073" s="64" t="n">
        <v>46299</v>
      </c>
      <c r="B1073" s="65">
        <f>'⚙ Настройки'!$A$2</f>
        <v/>
      </c>
      <c r="C1073" s="66" t="n">
        <v>3066</v>
      </c>
      <c r="D1073" s="65" t="n">
        <v>15639</v>
      </c>
      <c r="E1073" s="65" t="n">
        <v>266</v>
      </c>
      <c r="F1073" s="65" t="n">
        <v>133</v>
      </c>
    </row>
    <row r="1074">
      <c r="A1074" s="64" t="n">
        <v>46299</v>
      </c>
      <c r="B1074" s="65">
        <f>'⚙ Настройки'!$A$3</f>
        <v/>
      </c>
      <c r="C1074" s="66" t="n">
        <v>4064</v>
      </c>
      <c r="D1074" s="65" t="n">
        <v>21145</v>
      </c>
      <c r="E1074" s="65" t="n">
        <v>424</v>
      </c>
      <c r="F1074" s="65" t="n">
        <v>81</v>
      </c>
    </row>
    <row r="1075">
      <c r="A1075" s="64" t="n">
        <v>46299</v>
      </c>
      <c r="B1075" s="65">
        <f>'⚙ Настройки'!$A$4</f>
        <v/>
      </c>
      <c r="C1075" s="66" t="n">
        <v>7202</v>
      </c>
      <c r="D1075" s="65" t="n">
        <v>32471</v>
      </c>
      <c r="E1075" s="65" t="n">
        <v>523</v>
      </c>
      <c r="F1075" s="65" t="n">
        <v>95</v>
      </c>
    </row>
    <row r="1076">
      <c r="A1076" s="64" t="n">
        <v>46300</v>
      </c>
      <c r="B1076" s="65">
        <f>'⚙ Настройки'!$A$2</f>
        <v/>
      </c>
      <c r="C1076" s="66" t="n">
        <v>3592</v>
      </c>
      <c r="D1076" s="65" t="n">
        <v>18791</v>
      </c>
      <c r="E1076" s="65" t="n">
        <v>263</v>
      </c>
      <c r="F1076" s="65" t="n">
        <v>106</v>
      </c>
    </row>
    <row r="1077">
      <c r="A1077" s="64" t="n">
        <v>46300</v>
      </c>
      <c r="B1077" s="65">
        <f>'⚙ Настройки'!$A$3</f>
        <v/>
      </c>
      <c r="C1077" s="66" t="n">
        <v>6037</v>
      </c>
      <c r="D1077" s="65" t="n">
        <v>25190</v>
      </c>
      <c r="E1077" s="65" t="n">
        <v>396</v>
      </c>
      <c r="F1077" s="65" t="n">
        <v>127</v>
      </c>
    </row>
    <row r="1078">
      <c r="A1078" s="64" t="n">
        <v>46300</v>
      </c>
      <c r="B1078" s="65">
        <f>'⚙ Настройки'!$A$4</f>
        <v/>
      </c>
      <c r="C1078" s="66" t="n">
        <v>10806</v>
      </c>
      <c r="D1078" s="65" t="n">
        <v>53895</v>
      </c>
      <c r="E1078" s="65" t="n">
        <v>967</v>
      </c>
      <c r="F1078" s="65" t="n">
        <v>234</v>
      </c>
    </row>
    <row r="1079">
      <c r="A1079" s="64" t="n">
        <v>46301</v>
      </c>
      <c r="B1079" s="65">
        <f>'⚙ Настройки'!$A$2</f>
        <v/>
      </c>
      <c r="C1079" s="66" t="n">
        <v>3325</v>
      </c>
      <c r="D1079" s="65" t="n">
        <v>17078</v>
      </c>
      <c r="E1079" s="65" t="n">
        <v>280</v>
      </c>
      <c r="F1079" s="65" t="n">
        <v>118</v>
      </c>
    </row>
    <row r="1080">
      <c r="A1080" s="64" t="n">
        <v>46301</v>
      </c>
      <c r="B1080" s="65">
        <f>'⚙ Настройки'!$A$3</f>
        <v/>
      </c>
      <c r="C1080" s="66" t="n">
        <v>5566</v>
      </c>
      <c r="D1080" s="65" t="n">
        <v>24014</v>
      </c>
      <c r="E1080" s="65" t="n">
        <v>503</v>
      </c>
      <c r="F1080" s="65" t="n">
        <v>152</v>
      </c>
    </row>
    <row r="1081">
      <c r="A1081" s="64" t="n">
        <v>46301</v>
      </c>
      <c r="B1081" s="65">
        <f>'⚙ Настройки'!$A$4</f>
        <v/>
      </c>
      <c r="C1081" s="66" t="n">
        <v>11787</v>
      </c>
      <c r="D1081" s="65" t="n">
        <v>55177</v>
      </c>
      <c r="E1081" s="65" t="n">
        <v>795</v>
      </c>
      <c r="F1081" s="65" t="n">
        <v>266</v>
      </c>
    </row>
    <row r="1082">
      <c r="A1082" s="64" t="n">
        <v>46302</v>
      </c>
      <c r="B1082" s="65">
        <f>'⚙ Настройки'!$A$2</f>
        <v/>
      </c>
      <c r="C1082" s="66" t="n">
        <v>3603</v>
      </c>
      <c r="D1082" s="65" t="n">
        <v>16509</v>
      </c>
      <c r="E1082" s="65" t="n">
        <v>318</v>
      </c>
      <c r="F1082" s="65" t="n">
        <v>141</v>
      </c>
    </row>
    <row r="1083">
      <c r="A1083" s="64" t="n">
        <v>46302</v>
      </c>
      <c r="B1083" s="65">
        <f>'⚙ Настройки'!$A$3</f>
        <v/>
      </c>
      <c r="C1083" s="66" t="n">
        <v>7571</v>
      </c>
      <c r="D1083" s="65" t="n">
        <v>33008</v>
      </c>
      <c r="E1083" s="65" t="n">
        <v>537</v>
      </c>
      <c r="F1083" s="65" t="n">
        <v>194</v>
      </c>
    </row>
    <row r="1084">
      <c r="A1084" s="64" t="n">
        <v>46302</v>
      </c>
      <c r="B1084" s="65">
        <f>'⚙ Настройки'!$A$4</f>
        <v/>
      </c>
      <c r="C1084" s="66" t="n">
        <v>10650</v>
      </c>
      <c r="D1084" s="65" t="n">
        <v>52434</v>
      </c>
      <c r="E1084" s="65" t="n">
        <v>1035</v>
      </c>
      <c r="F1084" s="65" t="n">
        <v>222</v>
      </c>
    </row>
    <row r="1085">
      <c r="A1085" s="64" t="n">
        <v>46303</v>
      </c>
      <c r="B1085" s="65">
        <f>'⚙ Настройки'!$A$2</f>
        <v/>
      </c>
      <c r="C1085" s="66" t="n">
        <v>4541</v>
      </c>
      <c r="D1085" s="65" t="n">
        <v>19635</v>
      </c>
      <c r="E1085" s="65" t="n">
        <v>284</v>
      </c>
      <c r="F1085" s="65" t="n">
        <v>126</v>
      </c>
    </row>
    <row r="1086">
      <c r="A1086" s="64" t="n">
        <v>46303</v>
      </c>
      <c r="B1086" s="65">
        <f>'⚙ Настройки'!$A$3</f>
        <v/>
      </c>
      <c r="C1086" s="66" t="n">
        <v>6683</v>
      </c>
      <c r="D1086" s="65" t="n">
        <v>28626</v>
      </c>
      <c r="E1086" s="65" t="n">
        <v>438</v>
      </c>
      <c r="F1086" s="65" t="n">
        <v>130</v>
      </c>
    </row>
    <row r="1087">
      <c r="A1087" s="64" t="n">
        <v>46303</v>
      </c>
      <c r="B1087" s="65">
        <f>'⚙ Настройки'!$A$4</f>
        <v/>
      </c>
      <c r="C1087" s="66" t="n">
        <v>11168</v>
      </c>
      <c r="D1087" s="65" t="n">
        <v>48957</v>
      </c>
      <c r="E1087" s="65" t="n">
        <v>722</v>
      </c>
      <c r="F1087" s="65" t="n">
        <v>170</v>
      </c>
    </row>
    <row r="1088">
      <c r="A1088" s="64" t="n">
        <v>46304</v>
      </c>
      <c r="B1088" s="65">
        <f>'⚙ Настройки'!$A$2</f>
        <v/>
      </c>
      <c r="C1088" s="66" t="n">
        <v>4503</v>
      </c>
      <c r="D1088" s="65" t="n">
        <v>19833</v>
      </c>
      <c r="E1088" s="65" t="n">
        <v>300</v>
      </c>
      <c r="F1088" s="65" t="n">
        <v>124</v>
      </c>
    </row>
    <row r="1089">
      <c r="A1089" s="64" t="n">
        <v>46304</v>
      </c>
      <c r="B1089" s="65">
        <f>'⚙ Настройки'!$A$3</f>
        <v/>
      </c>
      <c r="C1089" s="66" t="n">
        <v>7066</v>
      </c>
      <c r="D1089" s="65" t="n">
        <v>34105</v>
      </c>
      <c r="E1089" s="65" t="n">
        <v>636</v>
      </c>
      <c r="F1089" s="65" t="n">
        <v>120</v>
      </c>
    </row>
    <row r="1090">
      <c r="A1090" s="64" t="n">
        <v>46304</v>
      </c>
      <c r="B1090" s="65">
        <f>'⚙ Настройки'!$A$4</f>
        <v/>
      </c>
      <c r="C1090" s="66" t="n">
        <v>8230</v>
      </c>
      <c r="D1090" s="65" t="n">
        <v>36994</v>
      </c>
      <c r="E1090" s="65" t="n">
        <v>756</v>
      </c>
      <c r="F1090" s="65" t="n">
        <v>109</v>
      </c>
    </row>
    <row r="1091">
      <c r="A1091" s="64" t="n">
        <v>46305</v>
      </c>
      <c r="B1091" s="65">
        <f>'⚙ Настройки'!$A$2</f>
        <v/>
      </c>
      <c r="C1091" s="66" t="n">
        <v>2797</v>
      </c>
      <c r="D1091" s="65" t="n">
        <v>15462</v>
      </c>
      <c r="E1091" s="65" t="n">
        <v>218</v>
      </c>
      <c r="F1091" s="65" t="n">
        <v>72</v>
      </c>
    </row>
    <row r="1092">
      <c r="A1092" s="64" t="n">
        <v>46305</v>
      </c>
      <c r="B1092" s="65">
        <f>'⚙ Настройки'!$A$3</f>
        <v/>
      </c>
      <c r="C1092" s="66" t="n">
        <v>4036</v>
      </c>
      <c r="D1092" s="65" t="n">
        <v>17321</v>
      </c>
      <c r="E1092" s="65" t="n">
        <v>292</v>
      </c>
      <c r="F1092" s="65" t="n">
        <v>73</v>
      </c>
    </row>
    <row r="1093">
      <c r="A1093" s="64" t="n">
        <v>46305</v>
      </c>
      <c r="B1093" s="65">
        <f>'⚙ Настройки'!$A$4</f>
        <v/>
      </c>
      <c r="C1093" s="66" t="n">
        <v>5902</v>
      </c>
      <c r="D1093" s="65" t="n">
        <v>31800</v>
      </c>
      <c r="E1093" s="65" t="n">
        <v>614</v>
      </c>
      <c r="F1093" s="65" t="n">
        <v>92</v>
      </c>
    </row>
    <row r="1094">
      <c r="A1094" s="64" t="n">
        <v>46306</v>
      </c>
      <c r="B1094" s="65">
        <f>'⚙ Настройки'!$A$2</f>
        <v/>
      </c>
      <c r="C1094" s="66" t="n">
        <v>2830</v>
      </c>
      <c r="D1094" s="65" t="n">
        <v>14513</v>
      </c>
      <c r="E1094" s="65" t="n">
        <v>215</v>
      </c>
      <c r="F1094" s="65" t="n">
        <v>139</v>
      </c>
    </row>
    <row r="1095">
      <c r="A1095" s="64" t="n">
        <v>46306</v>
      </c>
      <c r="B1095" s="65">
        <f>'⚙ Настройки'!$A$3</f>
        <v/>
      </c>
      <c r="C1095" s="66" t="n">
        <v>5583</v>
      </c>
      <c r="D1095" s="65" t="n">
        <v>29240</v>
      </c>
      <c r="E1095" s="65" t="n">
        <v>611</v>
      </c>
      <c r="F1095" s="65" t="n">
        <v>89</v>
      </c>
    </row>
    <row r="1096">
      <c r="A1096" s="64" t="n">
        <v>46306</v>
      </c>
      <c r="B1096" s="65">
        <f>'⚙ Настройки'!$A$4</f>
        <v/>
      </c>
      <c r="C1096" s="66" t="n">
        <v>5590</v>
      </c>
      <c r="D1096" s="65" t="n">
        <v>29181</v>
      </c>
      <c r="E1096" s="65" t="n">
        <v>545</v>
      </c>
      <c r="F1096" s="65" t="n">
        <v>133</v>
      </c>
    </row>
  </sheetData>
  <autoFilter ref="A1:F10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2026-10-12T06:24:28Z</dcterms:created>
  <dcterms:modified xsi:type="dcterms:W3CDTF">2026-10-12T06:24:29Z</dcterms:modified>
</cp:coreProperties>
</file>